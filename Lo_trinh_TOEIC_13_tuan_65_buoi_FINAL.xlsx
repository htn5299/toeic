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Tổng quan" sheetId="1" state="visible" r:id="rId1"/>
    <sheet name="Lộ trình 65 buổi" sheetId="2" state="visible" r:id="rId2"/>
    <sheet name="Bản đồ ngữ pháp" sheetId="3" state="visible" r:id="rId3"/>
    <sheet name="File" sheetId="4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<sst xmlns="http://schemas.openxmlformats.org/spreadsheetml/2006/main" count="304" uniqueCount="304">
  <si>
    <t xml:space="preserve">TỔNG QUAN CÁC CHẶNG &amp; MỤC TIÊU</t>
  </si>
  <si>
    <t xml:space="preserve">Chỉ số</t>
  </si>
  <si>
    <t xml:space="preserve">Giá trị</t>
  </si>
  <si>
    <t xml:space="preserve">Tổng số buổi</t>
  </si>
  <si>
    <t xml:space="preserve">Đã hoàn thành</t>
  </si>
  <si>
    <t xml:space="preserve">Tiến độ</t>
  </si>
  <si>
    <t xml:space="preserve">Tổng thời lượng (giờ)</t>
  </si>
  <si>
    <t>Chặng</t>
  </si>
  <si>
    <t>Tuần</t>
  </si>
  <si>
    <t xml:space="preserve">Thời gian</t>
  </si>
  <si>
    <t xml:space="preserve">Mốc tham chiếu</t>
  </si>
  <si>
    <t xml:space="preserve">Sách trọng tâm</t>
  </si>
  <si>
    <t xml:space="preserve">Tactics / ETS</t>
  </si>
  <si>
    <t xml:space="preserve">Mục tiêu chính</t>
  </si>
  <si>
    <t xml:space="preserve">Đầu ra bắt buộc</t>
  </si>
  <si>
    <t xml:space="preserve">Chặng 1 – Nền tảng</t>
  </si>
  <si>
    <t xml:space="preserve">Tuần 1–3</t>
  </si>
  <si>
    <t>14/09–02/10/2026</t>
  </si>
  <si>
    <t xml:space="preserve">0 → ~250/300</t>
  </si>
  <si>
    <t xml:space="preserve">English Grammar in Use
600 Essential Words
Pronunciation Elementary</t>
  </si>
  <si>
    <t xml:space="preserve">Chưa học Tactics; chỉ Pre-TOEIC cơ bản</t>
  </si>
  <si>
    <t xml:space="preserve">Xây nền thì, modal, từ loại; 12 lesson vocab đầu; âm cơ bản, stress, linking, intonation.</t>
  </si>
  <si>
    <t xml:space="preserve">Mini quiz tuần ≥80%; đọc hiểu câu ngắn; nghe số/ngày/giờ; có Error Log.</t>
  </si>
  <si>
    <t xml:space="preserve">Chặng 2 – Làm quen TOEIC</t>
  </si>
  <si>
    <t xml:space="preserve">Tuần 4–6</t>
  </si>
  <si>
    <t>05/10–23/10/2026</t>
  </si>
  <si>
    <t xml:space="preserve">~250/300 → ~350/400</t>
  </si>
  <si>
    <t xml:space="preserve">EGIU + 600 Words
Pronunciation Intermediate
Tactics for TOEIC L&amp;R</t>
  </si>
  <si>
    <t xml:space="preserve">Tactics U1–U12
ETS mini set cuối chặng</t>
  </si>
  <si>
    <t xml:space="preserve">Bắt đầu học Tactics đúng unit; nắm P1–P7 theo vòng đầu; tăng phản xạ connected speech.</t>
  </si>
  <si>
    <t xml:space="preserve">Hoàn thành Tactics U1–12; mini sets P1–3 &amp; P5–6; giảm lỗi grammar lặp lại.</t>
  </si>
  <si>
    <t xml:space="preserve">Chặng 3 – Phát triển kỹ năng</t>
  </si>
  <si>
    <t xml:space="preserve">Tuần 7–9</t>
  </si>
  <si>
    <t>26/10–13/11/2026</t>
  </si>
  <si>
    <t xml:space="preserve">~350/400 → ~450/500</t>
  </si>
  <si>
    <t xml:space="preserve">Tactics + Pronunciation Intermediate
600 Words + EGIU theo lỗi</t>
  </si>
  <si>
    <t xml:space="preserve">Tactics U13–U24
ETS half tests</t>
  </si>
  <si>
    <t xml:space="preserve">Luyện vòng Tactics tiếp theo; paraphrase, inference, scanning; timing LC/RC từng phần.</t>
  </si>
  <si>
    <t xml:space="preserve">Hoàn thành Tactics U13–24; 1 half Listening + 1 half Reading; vocab notebook hoạt động.</t>
  </si>
  <si>
    <t xml:space="preserve">Chặng 4 – Luyện ETS &amp; tăng tốc</t>
  </si>
  <si>
    <t xml:space="preserve">Tuần 10–13</t>
  </si>
  <si>
    <t>16/11–11/12/2026</t>
  </si>
  <si>
    <t xml:space="preserve">~450/500 → ~550/600 (stretch 650)</t>
  </si>
  <si>
    <t xml:space="preserve">ETS Official là chính
Tactics repair
Pronunciation Advanced chọn lọc</t>
  </si>
  <si>
    <t xml:space="preserve">Tactics U25–U28 + review
ETS Full Test 1–5</t>
  </si>
  <si>
    <t xml:space="preserve">Hoàn tất Tactics; chuyển trọng tâm sang ETS, timing, chữa lỗi và repair theo dữ liệu.</t>
  </si>
  <si>
    <t xml:space="preserve">5 Full Tests; chữa lỗi 100%; Grammar cheat sheet; Error Log + vocab notebook hoàn chỉnh.</t>
  </si>
  <si>
    <t xml:space="preserve">Thời gian: 14/09/2026 → 11/12/2026 | Học Thứ 2–Thứ 6 | Nghỉ Thứ 7 &amp; Chủ nhật</t>
  </si>
  <si>
    <t xml:space="preserve">Sách: English Grammar in Use · 600 Essential Words for TOEIC · English Pronunciation in Use · Tactics for TOEIC Listening &amp; Reading · ETS Official</t>
  </si>
  <si>
    <t>Ngày</t>
  </si>
  <si>
    <t>Thứ</t>
  </si>
  <si>
    <t>Sách</t>
  </si>
  <si>
    <t xml:space="preserve">Unit / Bài</t>
  </si>
  <si>
    <t xml:space="preserve">Nội dung trọng tâm</t>
  </si>
  <si>
    <t xml:space="preserve">Bài tập / Đầu ra</t>
  </si>
  <si>
    <t xml:space="preserve">Thời lượng (phút)</t>
  </si>
  <si>
    <t xml:space="preserve">Ghi chú</t>
  </si>
  <si>
    <t xml:space="preserve">Trạng thái
(H)</t>
  </si>
  <si>
    <t xml:space="preserve">Trạng thái
(E)</t>
  </si>
  <si>
    <t xml:space="preserve">Thứ 2</t>
  </si>
  <si>
    <t xml:space="preserve">English Grammar in Use
600 Essential Words for TOEIC
English Pronunciation in Use Elementary</t>
  </si>
  <si>
    <t xml:space="preserve">EGIU U1
Lesson 1
U1–2</t>
  </si>
  <si>
    <t xml:space="preserve">Grammar: Present continuous (I am doing) — U1
Vocabulary: 12 từ + collocations
Pronunciation: Spelling &amp; pronunciation; /iː/ vs /ɪ/
</t>
  </si>
  <si>
    <t xml:space="preserve">Hoàn thành bài tập unit đã học; active recall từ vựng; 10–15' nghe/shadowing; ghi lỗi cần ôn.</t>
  </si>
  <si>
    <t xml:space="preserve">Hoàn thành</t>
  </si>
  <si>
    <t xml:space="preserve">Thứ 3</t>
  </si>
  <si>
    <t xml:space="preserve">EGIU U2
Lesson 2
U3–6</t>
  </si>
  <si>
    <t xml:space="preserve">Grammar: Present simple (I do) — U2
Vocabulary: 12 từ + collocations
Pronunciation: Các cặp nguyên âm cơ bản
</t>
  </si>
  <si>
    <t xml:space="preserve">Thứ 4</t>
  </si>
  <si>
    <t xml:space="preserve">EGIU U3–4
Lesson 3
U11–15</t>
  </si>
  <si>
    <t xml:space="preserve">Grammar: Present continuous and present simple 1–2 (I am doing and I do) — U3–4
Vocabulary: 12 từ + collocations
Pronunciation: Các cặp phụ âm cơ bản
</t>
  </si>
  <si>
    <t xml:space="preserve">Thứ 5</t>
  </si>
  <si>
    <t xml:space="preserve">EGIU U5
Lesson 4
U16–23</t>
  </si>
  <si>
    <t xml:space="preserve">Grammar: Past simple (I did) — U5
Vocabulary: 12 từ + collocations
Pronunciation: Phụ âm dễ nhầm; nhận diện âm
</t>
  </si>
  <si>
    <t xml:space="preserve">Thứ 6</t>
  </si>
  <si>
    <t xml:space="preserve">EGIU U6
Review Lessons 1–4
U24–27</t>
  </si>
  <si>
    <t xml:space="preserve">Grammar: Past continuous (I was doing) — U6
Vocabulary: Flashcards + tự kiểm tra
Pronunciation: Consonant clusters + ôn âm
</t>
  </si>
  <si>
    <t xml:space="preserve">Ôn toàn bộ nội dung tuần; active recall từ vựng; 15–20' shadowing; cập nhật Error Log.</t>
  </si>
  <si>
    <t xml:space="preserve">Học phần nghe U4=&gt; 27 vào cuối tuần
Grammar U5+6
Words 4+Review</t>
  </si>
  <si>
    <t xml:space="preserve">EGIU U7–8
Lesson 5
U28–29</t>
  </si>
  <si>
    <t xml:space="preserve">Grammar: Present perfect 1–2 (I have done) — U7–8
Vocabulary: 12 từ + collocations
Pronunciation: Syllables; strong &amp; weak vowels
</t>
  </si>
  <si>
    <t xml:space="preserve">Học phần nghe U3 =&gt; 29
https://github.com/htn5299/toeic</t>
  </si>
  <si>
    <t xml:space="preserve">Chưa học</t>
  </si>
  <si>
    <t xml:space="preserve">EGIU U9–18 (trọng tâm U9–10)
Lesson 6–7
U30–32</t>
  </si>
  <si>
    <t xml:space="preserve">Grammar (trọng tâm hôm nay): Present perfect continuous (I have been doing) — U9; Present perfect continuous vs simple (I have been doing and I have done) — U10
Grammar (học tiếp trong tuần): how long have you (been)…? — U11; for and since — U12; present perfect vs past 1–2 — U13–14; past perfect &amp; past perfect continuous — U15–16; have and have got — U17; used to — U18
Vocabulary: Lesson 6–7 (12 từ/lesson + collocations)
Pronunciation: Word stress – từ 2 âm tiết, từ dài, compound words (U30–32)</t>
  </si>
  <si>
    <t xml:space="preserve">Grammar: nắm form + 3 cách dùng của PPerf continuous, làm bài tập U9–10 (Unit 09/10 trong vault) và Part 5 mini-drill; đọc lướt U11–18. Vocabulary: flashcard 24 từ Lesson 6–7 + nghe audio. Pronunciation: 15–20' shadowing word stress. Cập nhật Error Log.</t>
  </si>
  <si>
    <t xml:space="preserve">English Grammar in Use
600 Essential Words for TOEIC
</t>
  </si>
  <si>
    <t xml:space="preserve">EGIU 19-25
Lesson 8-9</t>
  </si>
  <si>
    <t xml:space="preserve">Grammar: Present tenses for the future; I'm going to (do); will and shall 1–2; I will and I'm going to; will be doing and will have done; when I do / if and when — U19–25
Vocabulary: 12 từ + collocations
Pronunciation: Chunking + linking words
</t>
  </si>
  <si>
    <t xml:space="preserve">EGIU 26-35
Lesson 10 </t>
  </si>
  <si>
    <t xml:space="preserve">Grammar: can, could and (be) able to; could (do) and could have (done); must and can't; may and might 1–2; have to and must; must / mustn't / needn't; should 1–2; I'd better… it's time… — U26–35
Vocabulary: 12 từ + collocations
Pronunciation: Rhythm + weak forms
</t>
  </si>
  <si>
    <t xml:space="preserve">EGIU 36-41
Review</t>
  </si>
  <si>
    <t xml:space="preserve">Grammar: would; can/could/would you…? (requests, offers, permission); if I do and if I did; if I knew… I wish I knew…; if I had known… I wish I had known…; wish — U36–41
Vocabulary: Flashcards + tự kiểm tra
Pronunciation: Weak forms, contractions, -s/-ed endings
</t>
  </si>
  <si>
    <t xml:space="preserve">EGIU 42-46
Lesson 11-12</t>
  </si>
  <si>
    <t xml:space="preserve">Grammar: Passive 1–3 (is done / was done / be done / been done); it is said that…; have something done — U42–46
Vocabulary: 12 từ + collocations
Pronunciation: Intonation: old/new information
</t>
  </si>
  <si>
    <t xml:space="preserve">EGIU 47-52
Lesson 13-14</t>
  </si>
  <si>
    <t xml:space="preserve">Grammar: Reported speech 1–2; Questions 1–2; auxiliary verbs (I think so / I hope so); question tags — U47–52
Vocabulary: 12 từ + collocations
Pronunciation: Storytelling + active listening
</t>
  </si>
  <si>
    <t xml:space="preserve">EGIU 53-68
Lesson 15-Review</t>
  </si>
  <si>
    <t xml:space="preserve">Grammar: Verb + -ing; Verb + to…; verb (+ object) + to…; verb + -ing or to… 1–3; prefer and would rather; preposition + -ing; be/get used to; verb + preposition + -ing; there's no point in -ing; to…, for… and so that…; adjective + to…; afraid to do / afraid of -ing; see somebody do/doing; -ing clauses — U53–68
Vocabulary: 12 từ + collocations
Pronunciation: Contrastive &amp; emphatic stress
</t>
  </si>
  <si>
    <t xml:space="preserve">EGIU 69-81
Lesson 16-17</t>
  </si>
  <si>
    <t xml:space="preserve">Grammar: Countable and uncountable 1–2; a/an and some; a/an and the; the 1–4; names with and without the; singular and plural; noun + noun; -'s and of… — U69–81
Vocabulary: 12 từ + collocations
Pronunciation: Functional intonation
</t>
  </si>
  <si>
    <t xml:space="preserve">EGIU 82-91
Lesson 18-19</t>
  </si>
  <si>
    <t xml:space="preserve">Grammar: myself / yourself / themselves; a friend of mine, my own, on my own; there… and it…; some and any; no/none/any, nothing/nobody; much, many, little, few, a lot, plenty; all / most / no / none of; both / neither / either; all, every, whole; each and every — U82–91
Vocabulary: Flashcards + tự kiểm tra
Pronunciation: Ôn trọng âm–linking–intonation; numbers
</t>
  </si>
  <si>
    <t xml:space="preserve">EGIU 92-97
Lesson 20-Review
</t>
  </si>
  <si>
    <t xml:space="preserve">Grammar: Relative clauses 1–5 (who/that/which; whose/whom/where; extra information clauses); -ing and -ed clauses — U92–97
Vocabulary: 12 từ + collocations
Pronunciation: Selected sound contrasts
Tactics: Part 1 – Photographs</t>
  </si>
  <si>
    <t xml:space="preserve">EGIU 98-104
Lesson 21-22
</t>
  </si>
  <si>
    <t xml:space="preserve">Grammar: Adjectives ending in -ing and -ed; adjectives (a nice new house…); adjectives and adverbs 1–2; so and such; enough and too; quite, pretty, rather and fairly — U98–104
Vocabulary: 12 từ + collocations
Pronunciation: Selected sound contrasts + schwa
Tactics: Part 2 – Question-Response</t>
  </si>
  <si>
    <t xml:space="preserve">EGIU 105-112
Lesson 23-24
</t>
  </si>
  <si>
    <t xml:space="preserve">Grammar: Comparative 1–3; superlative; word order 1–2; still, any more, yet, already; even — U105–112
Vocabulary: 12 từ + collocations
Pronunciation: Consonant/vowel contrasts
Tactics: Part 3 – Conversations</t>
  </si>
  <si>
    <t xml:space="preserve">EGIU 113-120
Lesson 25-Review
</t>
  </si>
  <si>
    <t xml:space="preserve">Grammar: although / though / even though / in spite of / despite; in case; unless, as long as, provided; as; like and as; like / as if; during, for, while; by and until, by the time — U113–120
Vocabulary: 12 từ + collocations
Pronunciation: Consonant/vowel contrasts
Tactics: Part 4 – Talks</t>
  </si>
  <si>
    <t xml:space="preserve">EGIU 121-128
Lesson 26-27
</t>
  </si>
  <si>
    <t xml:space="preserve">Grammar: at/on/in (time); on time and in time, at the end and in the end; in/at/on (position) 1–3; to, at, in and into; in/on/at (other uses); by — U121–128
Vocabulary: Flashcards + tự kiểm tra
Pronunciation: Consonant groups + endings
Tactics: Mini test + ôn chiến thuật</t>
  </si>
  <si>
    <t xml:space="preserve">EGIU 129-136
Lesson 28-29
</t>
  </si>
  <si>
    <t xml:space="preserve">Grammar: Noun + preposition; adjective + preposition 1–2; verb + preposition 1–5 — U129–136
Vocabulary: 12 từ + collocations
Pronunciation: Consonant groups; -s/-ed endings
Tactics: Part 5 – Incomplete Sentences</t>
  </si>
  <si>
    <t xml:space="preserve">Note riêng: Đẩy lịch học ngày này lên </t>
  </si>
  <si>
    <t xml:space="preserve">EGIU 137-145
Lesson 30-Review
</t>
  </si>
  <si>
    <t xml:space="preserve">Grammar: Phrasal verbs 1–9 (introduction; in/out; out; on/off 1–2; up/down; up 1–2; away/back) — U137–145
Vocabulary: 12 từ + collocations
Pronunciation: Linking across word boundaries
Tactics: Part 6 – Text Completion</t>
  </si>
  <si>
    <t xml:space="preserve">Done EGIU
Note riêng: Đẩy lịch học ngày này lên </t>
  </si>
  <si>
    <t xml:space="preserve">600 Essential Words for TOEIC
Tactics for TOEIC Listening &amp; Reading</t>
  </si>
  <si>
    <t xml:space="preserve">Lesson 31-32
U1-2 </t>
  </si>
  <si>
    <t xml:space="preserve">Grammar: Ôn tập: gerund &amp; infinitive – nền tảng (U53–55)
Vocabulary: 12 từ + collocations
Pronunciation: Word stress
Tactics: Part 7 – Reading Comprehension</t>
  </si>
  <si>
    <t xml:space="preserve">Lesson 33-34
U3-4</t>
  </si>
  <si>
    <t xml:space="preserve">Grammar: Ôn tập: verb patterns V-ing / to V (U56–59)
Vocabulary: 12 từ + collocations
Pronunciation: Stress patterns + weak words
Tactics: Part 1 – Photographs</t>
  </si>
  <si>
    <t xml:space="preserve">Lesson 35-Review
U5-6-7</t>
  </si>
  <si>
    <t xml:space="preserve">Grammar: Ôn tập: preposition + -ing; be/get used to; see + O + V/V-ing (U60–68)
Vocabulary: Flashcards + tự kiểm tra
Pronunciation: Ôn stress, weak forms, linking
Tactics: Mini test + ôn chiến thuật</t>
  </si>
  <si>
    <t xml:space="preserve">Lesson 36-37
U8-9</t>
  </si>
  <si>
    <t xml:space="preserve">Grammar: Ôn tập: danh từ đếm được / không đếm được (U69–71)
Vocabulary: 12 từ + collocations
Pronunciation: Speech units + main stress
Tactics: Part 2 – Question-Response</t>
  </si>
  <si>
    <t xml:space="preserve">Lesson 38-39
U10-11</t>
  </si>
  <si>
    <t xml:space="preserve">Grammar: Ôn tập: mạo từ a/an/the (U72–76)
Vocabulary: 12 từ + collocations
Pronunciation: Contrast + main stress in questions
Tactics: Part 3 – Conversations</t>
  </si>
  <si>
    <t xml:space="preserve">Lesson 38-39
U12-13-14</t>
  </si>
  <si>
    <t xml:space="preserve">Grammar: Ôn tập: tên riêng với/không với the; số ít – số nhiều; noun + noun (U77–81)
Vocabulary: 12 từ + collocations
Pronunciation: Corrections + rising/falling tones
Tactics: Part 4 – Talks</t>
  </si>
  <si>
    <t xml:space="preserve">Lesson 40-Review
U15-16</t>
  </si>
  <si>
    <t xml:space="preserve">Grammar: Ôn tập: đại từ phản thân – sở hữu; there &amp; it (U82–84)
Vocabulary: 12 từ + collocations
Pronunciation: Thinking time + unstressed words
Tactics: Part 5 – Incomplete Sentences</t>
  </si>
  <si>
    <t xml:space="preserve">Lesson 41-42
U17-18</t>
  </si>
  <si>
    <t xml:space="preserve">Grammar: Ôn tập: some / any / no + lượng từ much, many, little, few (U85–87)
Vocabulary: Flashcards + tự kiểm tra
Pronunciation: Connected speech + fast/careful speech
ETS: P1–3 + P5–6</t>
  </si>
  <si>
    <t xml:space="preserve">Lesson 43-44
 U19-20-21</t>
  </si>
  <si>
    <t xml:space="preserve">Grammar: Ôn tập: all / both / either / neither / every / each (U88–91)
Vocabulary: 12 từ + collocations
Pronunciation: Continuing/finishing tones + instructions
Tactics: Part 6 – Text Completion</t>
  </si>
  <si>
    <t xml:space="preserve">Lesson 45-Review
 U22-23</t>
  </si>
  <si>
    <t xml:space="preserve">Grammar: Ôn tập: mệnh đề quan hệ xác định (U92–93)
Vocabulary: 12 từ + collocations
Pronunciation: Opinions + enthusiasm
Tactics: Part 7 – Reading Comprehension</t>
  </si>
  <si>
    <t xml:space="preserve">Lesson 46-47
 U24-25</t>
  </si>
  <si>
    <t xml:space="preserve">Grammar: Ôn tập: mệnh đề quan hệ không xác định + giới từ (U94–96)
Vocabulary: 12 từ + collocations
Pronunciation: Accent variation: R + vowels
Tactics: Part 1 – Photographs</t>
  </si>
  <si>
    <t xml:space="preserve">Lesson 48-49
 U26-27-28</t>
  </si>
  <si>
    <t xml:space="preserve">Grammar: Ôn tập: mệnh đề -ing / -ed + tính từ -ing/-ed (U97–98)
Vocabulary: 12 từ + collocations
Pronunciation: Accent variation: consonants + World English
Tactics: Part 2 – Question-Response</t>
  </si>
  <si>
    <t xml:space="preserve">600 Essential Words for TOEIC
ETS Official TOEIC</t>
  </si>
  <si>
    <t xml:space="preserve">Lesson 50-Review
Mini set</t>
  </si>
  <si>
    <t xml:space="preserve">Grammar: Ôn tập: adjective vs adverb (U99–101)
Vocabulary: Flashcards + tự kiểm tra
Pronunciation: Clarity vs speed + tổng ôn
ETS: P3–4 + P7 single passages</t>
  </si>
  <si>
    <t xml:space="preserve">English Grammar in Use
600 Essential Words for TOEIC
English Pronunciation in Use Intermediate
Tactics for TOEIC Listening &amp; Reading</t>
  </si>
  <si>
    <t xml:space="preserve">EGIU U100–102
Lesson 29
Review U46–50
U17</t>
  </si>
  <si>
    <t xml:space="preserve">Grammar: Ôn tập: Adjectives and adverbs 1–2; so and such — U100–102
Vocabulary: 12 từ + collocations
Pronunciation: Fast speech repair
Tactics: Part 3 – Conversations</t>
  </si>
  <si>
    <t xml:space="preserve">EGIU U103–104
Lesson 30
Review U32–36
U18</t>
  </si>
  <si>
    <t xml:space="preserve">Grammar: Ôn tập: enough and too; quite, pretty, rather and fairly — U103–104
Vocabulary: 12 từ + collocations
Pronunciation: Stress-pattern repair
Tactics: Part 4 – Talks</t>
  </si>
  <si>
    <t xml:space="preserve">EGIU U105–108
Lesson 31
Review U37–45
U19</t>
  </si>
  <si>
    <t xml:space="preserve">Grammar: Ôn tập: Comparative 1–3; superlative — U105–108
Vocabulary: 12 từ + collocations
Pronunciation: Speech units + intonation repair
Tactics: Part 5 – Incomplete Sentences</t>
  </si>
  <si>
    <t xml:space="preserve">EGIU U109–110
Lesson 32
Review U56–59
U20</t>
  </si>
  <si>
    <t xml:space="preserve">Grammar: Ôn tập: Word order 1–2 (verb + object; adverbs with the verb) — U109–110
Vocabulary: 12 từ + collocations
Pronunciation: Accent variation
Tactics: Part 6 – Text Completion</t>
  </si>
  <si>
    <t xml:space="preserve">English Grammar in Use
600 Essential Words for TOEIC
English Pronunciation in Use Intermediate
ETS Official TOEIC</t>
  </si>
  <si>
    <t xml:space="preserve">EGIU U111–113
Review Lessons 29–32
Review U48–50
Half test – Listening</t>
  </si>
  <si>
    <t xml:space="preserve">Grammar: Ôn tập: still, any more, yet, already; even; although / though / even though — U111–113
Vocabulary: Flashcards + tự kiểm tra
Pronunciation: Dictation + shadowing connected speech
ETS: 100 câu / 45 phút + review</t>
  </si>
  <si>
    <t xml:space="preserve">EGIU U114–117
Lesson 33
Review U39–45
U21</t>
  </si>
  <si>
    <t xml:space="preserve">Grammar: Ôn tập: in case; unless, as long as, provided; as; like and as — U114–117
Vocabulary: 12 từ + collocations
Pronunciation: Main stress + tones
Tactics: Part 7 – Reading Comprehension</t>
  </si>
  <si>
    <t xml:space="preserve">EGIU U118
Lesson 34
Review U46–50
U22</t>
  </si>
  <si>
    <t xml:space="preserve">Grammar: Ôn tập: like and as if — U118
Vocabulary: 12 từ + collocations
Pronunciation: Fast speech
Tactics: Part 1 – Photographs</t>
  </si>
  <si>
    <t xml:space="preserve">EGIU U119–121
Lesson 35
Review U51–55
U23</t>
  </si>
  <si>
    <t xml:space="preserve">Grammar: Ôn tập: during, for, while; by and until, by the time; at/on/in (time) — U119–121
Vocabulary: 12 từ + collocations
Pronunciation: Intonation
Tactics: Part 2 – Question-Response</t>
  </si>
  <si>
    <t xml:space="preserve">EGIU U122–125
Lesson 36
Review U56–59
U24</t>
  </si>
  <si>
    <t xml:space="preserve">Grammar: Ôn tập: on time and in time; in/at/on (position) 1–3 — U122–125
Vocabulary: 12 từ + collocations
Pronunciation: Accent variation
Tactics: Part 3 – Conversations</t>
  </si>
  <si>
    <t xml:space="preserve">EGIU U126–128
Review Lessons 33–36
Targeted review
Half test – Reading</t>
  </si>
  <si>
    <t xml:space="preserve">Grammar: Ôn tập: to, at, in and into; in/on/at (other uses); by — U126–128
Vocabulary: Flashcards + tự kiểm tra
Pronunciation: ETS dictation + lỗi cá nhân
ETS: 100 câu / 75 phút + review</t>
  </si>
  <si>
    <t xml:space="preserve">EGIU U129–130
Lesson 37
Targeted review
U25</t>
  </si>
  <si>
    <t xml:space="preserve">Grammar: Ôn tập: Noun + preposition; adjective + preposition 1 — U129–130
Vocabulary: 12 từ + collocations
Pronunciation: Weak forms repair
Tactics: Part 4 – Talks</t>
  </si>
  <si>
    <t xml:space="preserve">EGIU U131–132
Lesson 38
Targeted review
U26</t>
  </si>
  <si>
    <t xml:space="preserve">Grammar: Ôn tập: Adjective + preposition 2; verb + preposition 1 — U131–132
Vocabulary: 12 từ + collocations
Pronunciation: Linking repair
Tactics: Part 5 – Incomplete Sentences</t>
  </si>
  <si>
    <t xml:space="preserve">EGIU U133–137
Lesson 39
Targeted review
U27</t>
  </si>
  <si>
    <t xml:space="preserve">Grammar: Ôn tập: Verb + preposition 2–5; phrasal verbs 1 — U133–137
Vocabulary: 12 từ + collocations
Pronunciation: Prominence repair
Tactics: Part 6 – Text Completion</t>
  </si>
  <si>
    <t xml:space="preserve">Theo chủ điểm
Lesson 40
Targeted review
U28</t>
  </si>
  <si>
    <t xml:space="preserve">Grammar: Ôn tập: phrasal verbs cốt lõi – nhóm 2 (EGIU U138–145, chọn lọc)
Vocabulary: 12 từ + collocations
Pronunciation: Intonation repair
Tactics: Part 7 – Reading Comprehension</t>
  </si>
  <si>
    <t xml:space="preserve">Tổng ôn EGIU
Review Lessons 37–40
Targeted review
Full Test 1</t>
  </si>
  <si>
    <t xml:space="preserve">Grammar: Tổng ôn: word forms + connectors + prepositions
Vocabulary: Flashcards + tự kiểm tra
Pronunciation: Shadowing full LC excerpt
ETS: 200 câu mô phỏng</t>
  </si>
  <si>
    <t xml:space="preserve">Làm đúng thời gian; không tra cứu; ghi LC/RC và 3 nhóm lỗi lớn nhất. Sau đó cập nhật Error Log.</t>
  </si>
  <si>
    <t xml:space="preserve">Ôn EGIU U1–25
Lesson 41
Targeted review
Review Full Test 1</t>
  </si>
  <si>
    <t xml:space="preserve">Grammar: Ôn hệ thống thì + time expressions
Vocabulary: 12 từ + collocations
Pronunciation: ETS Part 2 shadowing
ETS: Listening + shadowing</t>
  </si>
  <si>
    <t xml:space="preserve">Ôn EGIU U26–46
Lesson 42
Targeted review
Review Full Test 1</t>
  </si>
  <si>
    <t xml:space="preserve">Grammar: Ôn modals + passive
Vocabulary: 12 từ + collocations
Pronunciation: ETS Part 3 shadowing
ETS: Reading + Error Log</t>
  </si>
  <si>
    <t xml:space="preserve">Ôn EGIU U69–110
Lesson 43
Targeted review
Review U1–28</t>
  </si>
  <si>
    <t xml:space="preserve">Grammar: Ôn word forms: noun/adj/adv
Vocabulary: 12 từ + collocations
Pronunciation: ETS Part 4 shadowing
Tactics: Repair Part Listening yếu nhất</t>
  </si>
  <si>
    <t xml:space="preserve">Ôn EGIU U53–68
Lesson 44
Targeted review
Review U1–28</t>
  </si>
  <si>
    <t xml:space="preserve">Grammar: Ôn gerund/infinitive/verb patterns
Vocabulary: 12 từ + collocations
Pronunciation: Dictation theo Error Log
Tactics: Repair Part Reading yếu nhất</t>
  </si>
  <si>
    <t xml:space="preserve">Error Log
Review Lessons 41–44
Review U46–60
Full Test 2</t>
  </si>
  <si>
    <t xml:space="preserve">Grammar: Áp dụng trong Full Test – không học mới
Vocabulary: Flashcards + tự kiểm tra
Pronunciation: Nghe mô phỏng + fast speech
ETS: 200 câu mô phỏng</t>
  </si>
  <si>
    <t xml:space="preserve">English Grammar in Use
600 Essential Words for TOEIC
English Pronunciation in Use Advanced
ETS Official TOEIC</t>
  </si>
  <si>
    <t xml:space="preserve">Ôn EGIU U69–95
Lesson 45
U5–6
Review Full Test 2</t>
  </si>
  <si>
    <t xml:space="preserve">Grammar: Ôn articles/quantifiers/relative clauses
Vocabulary: 12 từ + collocations
Pronunciation: Slow vs fast speech
ETS: Listening</t>
  </si>
  <si>
    <t xml:space="preserve">Ôn EGIU U111–132
Lesson 46
U21–22
Review Full Test 2</t>
  </si>
  <si>
    <t xml:space="preserve">Grammar: Ôn conjunctions/prepositions
Vocabulary: 12 từ + collocations
Pronunciation: Weak &amp; prominent function words
ETS: Reading</t>
  </si>
  <si>
    <t xml:space="preserve">Ôn EGIU U98–110
Lesson 47
U26–31
Targeted LC</t>
  </si>
  <si>
    <t xml:space="preserve">Grammar: Ôn comparison/adverbs/word order
Vocabulary: 12 từ + collocations
Pronunciation: Linking, contractions, ellipsis, sound deletion
ETS: Drill theo Error Log</t>
  </si>
  <si>
    <t xml:space="preserve">Error Log
Lesson 48
U32–34
Targeted RC</t>
  </si>
  <si>
    <t xml:space="preserve">Grammar: Grammar repair theo ETS Test 2
Vocabulary: 12 từ + collocations
Pronunciation: Speech units + prominence
ETS: Drill + grammar repair</t>
  </si>
  <si>
    <t xml:space="preserve">Error Log
Review Lessons 45–48
U39–44
Full Test 3</t>
  </si>
  <si>
    <t xml:space="preserve">Grammar: Áp dụng trong Full Test – không học mới
Vocabulary: Flashcards + tự kiểm tra
Pronunciation: Intonation in questions / statements
ETS: 200 câu mô phỏng</t>
  </si>
  <si>
    <t xml:space="preserve">Error Log
Lesson 49
U46–50
Review Full Test 3</t>
  </si>
  <si>
    <t xml:space="preserve">Grammar: Grammar repair theo ETS Test 3
Vocabulary: 12 từ + collocations
Pronunciation: Contrasts + attitude
ETS: Chữa + xếp hạng lỗi</t>
  </si>
  <si>
    <t xml:space="preserve">Error Log
Lesson 50
U52–53
Weak-part drill</t>
  </si>
  <si>
    <t xml:space="preserve">Grammar: Ôn cụm ngữ pháp yếu nhất
Vocabulary: 12 từ + collocations
Pronunciation: Managing conversation
ETS: 40–60 câu Part yếu nhất</t>
  </si>
  <si>
    <t xml:space="preserve">Error Log
Review Lessons 41–50
Review U5–6, U26–34
Full Test 4</t>
  </si>
  <si>
    <t xml:space="preserve">Grammar: Áp dụng trong Full Test – không học mới
Vocabulary: Flashcards + tự kiểm tra
Pronunciation: Fast speech + prominence
ETS: 200 câu mô phỏng</t>
  </si>
  <si>
    <t xml:space="preserve">Tổng ôn
Lesson 1
Targeted review
Review Full Test 4</t>
  </si>
  <si>
    <t xml:space="preserve">Grammar: Lập Grammar Cheat Sheet 1 trang
Vocabulary: 12 từ + collocations
Pronunciation: Repair theo Error Log
ETS: Final repair</t>
  </si>
  <si>
    <t xml:space="preserve">Tổng ôn
Final review
Final review
Full Test 5</t>
  </si>
  <si>
    <t xml:space="preserve">Grammar: Final Simulation – không học mới
Vocabulary: 100 từ/cụm trọng tâm + ETS Vocabulary Notebook
Pronunciation: Listening review theo lỗi cá nhân
ETS: Final simulation + tổng kết</t>
  </si>
  <si>
    <t xml:space="preserve">BẢN ĐỒ NGỮ PHÁP – ENGLISH GRAMMAR IN USE</t>
  </si>
  <si>
    <t xml:space="preserve">Unit EGIU</t>
  </si>
  <si>
    <t xml:space="preserve">Chủ điểm ngữ pháp</t>
  </si>
  <si>
    <t xml:space="preserve">Ứng dụng TOEIC</t>
  </si>
  <si>
    <t xml:space="preserve">Mục tiêu</t>
  </si>
  <si>
    <t>1</t>
  </si>
  <si>
    <t>U1–6</t>
  </si>
  <si>
    <t xml:space="preserve">Present and past (U1–6)
• Present continuous (U1); Present simple (U2)
• Present continuous &amp; simple 1–2 (U3–4)
• Past simple (U5); Past continuous (U6)</t>
  </si>
  <si>
    <t xml:space="preserve">P5: nhận diện thì theo mốc thời gian
Hòa hợp chủ ngữ – động từ</t>
  </si>
  <si>
    <t xml:space="preserve">Nắm chắc 4 thì nền tảng: hiện tại đơn/tiếp diễn, quá khứ đơn/tiếp diễn</t>
  </si>
  <si>
    <t>2</t>
  </si>
  <si>
    <t>U7–41</t>
  </si>
  <si>
    <t xml:space="preserve">Present perfect and past (U7–18)
• Present perfect 1–2; present perfect continuous &amp; simple
• how long; for and since; present perfect vs past
• Past perfect &amp; past perfect continuous; have and have got; used to
Future (U19–25)
• present tenses for the future; be going to; will &amp; shall; will vs going to; will be doing / will have done
Modals (U26–37)
• can/could/be able to; must &amp; can't; may &amp; might; have to &amp; must; should; would; requests
if and wish (U38–41)
• câu điều kiện 1–3; wish</t>
  </si>
  <si>
    <t xml:space="preserve">P5/P6: chuỗi thì và dấu hiệu thời gian
Modal: suy đoán – bắt buộc – lời khuyên
Câu điều kiện &amp; câu ước</t>
  </si>
  <si>
    <t xml:space="preserve">Bao trọn hệ thì hiện tại – quá khứ – tương lai và toàn bộ hệ modal</t>
  </si>
  <si>
    <t>3</t>
  </si>
  <si>
    <t>U42–91</t>
  </si>
  <si>
    <t xml:space="preserve">Passive (U42–46)
• Passive 1–3; it is said that…; have something done
Reported speech (U47–48)
Questions and auxiliary verbs (U49–52)
• Questions 1–2; auxiliary verbs; question tags
-ing and to … (U53–68)
• Verb + -ing / Verb + to; prefer &amp; would rather; be/get used to; see somebody do/doing; -ing clauses
Articles and nouns (U69–81)
• countable–uncountable; a/an and the; the 1–4; names with/without the; singular–plural; noun + noun
Pronouns and determiners (U82–91)
• myself…; there and it; some/any; much/many; all–most–both–neither–either; each and every</t>
  </si>
  <si>
    <t xml:space="preserve">P5/P6: bị động, câu hỏi, câu gián tiếp
Word form: danh từ – mạo từ – đại từ – lượng từ</t>
  </si>
  <si>
    <t xml:space="preserve">Xử lý câu phức, bị động và các nhóm từ loại hay thi</t>
  </si>
  <si>
    <t>4</t>
  </si>
  <si>
    <t>U92–128</t>
  </si>
  <si>
    <t xml:space="preserve">Relative clauses (U92–97)
• Relative clauses 1–5; -ing and -ed clauses
Adjectives and adverbs (U98–112)
• tính từ -ing/-ed; adjective vs adverb; so &amp; such; enough &amp; too; so sánh hơn &amp; so sánh nhất; trật tự từ; still/yet/already/even
Conjunctions and prepositions (U113–120)
• although/despite; in case; unless; as; like &amp; as; like/as if; during/for/while; by and until
Prepositions (U121–128)
• at/on/in (time &amp; position); on time–in time; to/at/in/into; by</t>
  </si>
  <si>
    <t xml:space="preserve">P5/P6/P7: mệnh đề quan hệ &amp; rút gọn
So sánh – trật tự từ – trạng từ
Liên từ và giới từ</t>
  </si>
  <si>
    <t xml:space="preserve">Đọc nhanh cụm danh từ – mệnh đề và chọn đúng giới từ</t>
  </si>
  <si>
    <t>5</t>
  </si>
  <si>
    <t>U129–145</t>
  </si>
  <si>
    <t xml:space="preserve">Prepositions (U129–136)
• Noun + preposition (U129)
• Adjective + preposition 1–2 (U130–131)
• Verb + preposition 1–5 (U132–136)
Phrasal verbs (U137–145)
• Phrasal verbs 1–9: in/out, on/off, up/down, away/back</t>
  </si>
  <si>
    <t xml:space="preserve">P5/P6: cụm động từ + giới từ
Từ vựng trong ngữ cảnh (Part 7)</t>
  </si>
  <si>
    <t xml:space="preserve">Hoàn tất toàn bộ grammar cốt lõi của EGIU</t>
  </si>
  <si>
    <t>6</t>
  </si>
  <si>
    <t xml:space="preserve">Ôn U69–91</t>
  </si>
  <si>
    <t xml:space="preserve">Ôn chuyên sâu — Articles and nouns + Pronouns and determiners (U69–91)
• danh từ đếm được / không đếm được (U69–71)
• a/an, the 1–4 (U72–76); names with and without the (U77–78); singular–plural (U79)
• đại từ phản thân – sở hữu (U82–83); there &amp; it (U84); some/any/no (U85–86)
• lượng từ: much/many/little/few (U87); all/most/no/none (U88); both/neither/either (U89); all/every/whole (U90); each and every (U91)</t>
  </si>
  <si>
    <t xml:space="preserve">P5: word form &amp; determiners</t>
  </si>
  <si>
    <t xml:space="preserve">Củng cố nhóm từ loại được hỏi nhiều nhất ở Part 5</t>
  </si>
  <si>
    <t>7</t>
  </si>
  <si>
    <t xml:space="preserve">Ôn U88–101</t>
  </si>
  <si>
    <t xml:space="preserve">Ôn — Pronouns and determiners → Relative clauses → Adjectives (U88–101)
• all/both/either/neither/every/each (U88–91, chọn lọc)
• mệnh đề quan hệ xác định (U92–93)
• mệnh đề quan hệ không xác định + giới từ (U94–96)
• mệnh đề -ing / -ed (U97); tính từ -ing/-ed (U98); adjective vs adverb (U100–101)</t>
  </si>
  <si>
    <t>P5/P6/P7</t>
  </si>
  <si>
    <t xml:space="preserve">Đọc cụm danh từ và mệnh đề quan hệ thành thạo</t>
  </si>
  <si>
    <t>8</t>
  </si>
  <si>
    <t xml:space="preserve">Ôn U100–113</t>
  </si>
  <si>
    <t xml:space="preserve">Ôn — Adjectives and adverbs (U100–113)
• adjectives and adverbs 1–2 (U100–101); so and such (U102); enough and too (U103); quite/pretty/rather/fairly (U104)
• comparative 1–3 (U105–107); superlative (U108)
• word order 1–2 (U109–110); still / any more / yet / already (U111); even (U112)
• although / though / even though (U113)</t>
  </si>
  <si>
    <t>P5/P6</t>
  </si>
  <si>
    <t xml:space="preserve">Tăng tốc xử lý dạng bài điền từ (sentence completion)</t>
  </si>
  <si>
    <t>9</t>
  </si>
  <si>
    <t xml:space="preserve">Ôn U114–128</t>
  </si>
  <si>
    <t xml:space="preserve">Ôn — Conjunctions and prepositions (U114–128)
• in case (U114); unless / as long as / provided (U115); as (U116); like and as (U117); like / as if (U118)
• during, for, while (U119); by and until, by the time (U120)
• at/on/in (time) (U121); on time – in time (U122); in/at/on (position) 1–3 (U123–125)
• to, at, in and into (U126); in/on/at other uses (U127); by (U128)</t>
  </si>
  <si>
    <t xml:space="preserve">Phân biệt preposition và conjunction</t>
  </si>
  <si>
    <t>10</t>
  </si>
  <si>
    <t xml:space="preserve">Ôn U129–145</t>
  </si>
  <si>
    <t xml:space="preserve">Ôn — Prepositions + Phrasal verbs (U129–145)
• noun + preposition (U129); adjective + preposition 1–2 (U130–131)
• verb + preposition 1–5 (U132–136)
• phrasal verbs 1–9 (U137–145): in/out, on/off, up/down, away/back</t>
  </si>
  <si>
    <t xml:space="preserve">P5 + từ vựng trong ngữ cảnh</t>
  </si>
  <si>
    <t xml:space="preserve">Khóa chặt cụm động từ + giới từ và phrasal verbs</t>
  </si>
  <si>
    <t>11</t>
  </si>
  <si>
    <t xml:space="preserve">Review U1–110</t>
  </si>
  <si>
    <t xml:space="preserve">Tenses, modals, passive, word forms, verb patterns</t>
  </si>
  <si>
    <t xml:space="preserve">Repair theo ETS Test 1</t>
  </si>
  <si>
    <t xml:space="preserve">Ôn đúng lỗi thay vì học mới</t>
  </si>
  <si>
    <t>12</t>
  </si>
  <si>
    <t xml:space="preserve">Review U69–132</t>
  </si>
  <si>
    <t xml:space="preserve">Articles, relative clauses, connectors, prepositions</t>
  </si>
  <si>
    <t xml:space="preserve">Repair theo ETS Test 2</t>
  </si>
  <si>
    <t xml:space="preserve">Giảm lỗi lặp lại</t>
  </si>
  <si>
    <t>13</t>
  </si>
  <si>
    <t xml:space="preserve">Error Log</t>
  </si>
  <si>
    <t xml:space="preserve">Chủ điểm yếu nhất từ ETS</t>
  </si>
  <si>
    <t xml:space="preserve">Targeted grammar repair</t>
  </si>
  <si>
    <t xml:space="preserve">Tạo Grammar Cheat Sheet cá nhân</t>
  </si>
  <si>
    <t xml:space="preserve">Ghi chú: Bản đồ cập nhật theo mục lục sách English Grammar in Use 5th ed. (2019), Units 1–145, đối chiếu với dải unit ghi ở cột F của sheet “Lộ trình 65 buổi”. Grammar U1–145 hoàn tất trong 5 tuần đầu; từ tuần 6 trở đi là ôn chuyên sâu theo nhóm chủ điểm và repair theo ETS.</t>
  </si>
  <si>
    <t xml:space="preserve">Tài liệu</t>
  </si>
  <si>
    <t xml:space="preserve">Thông tin dùng trong file</t>
  </si>
  <si>
    <t>Nguồn</t>
  </si>
  <si>
    <t xml:space="preserve">Ghi chú</t>
  </si>
  <si>
    <t xml:space="preserve">English Grammar in Use</t>
  </si>
  <si>
    <t>https://drive.google.com/file/d/197VlGqCeCnVGN0J2KEw8J_kJPU_lqoyP/view?usp=sharing</t>
  </si>
  <si>
    <t xml:space="preserve">600 Essential Words for the TOEIC</t>
  </si>
  <si>
    <t xml:space="preserve">50 lessons; mỗi lesson 12 target words</t>
  </si>
  <si>
    <t>https://drive.google.com/drive/folders/1msdAjbrSD14rLuiBBClqKdi5n1zp_KAR?usp=sharing</t>
  </si>
  <si>
    <t xml:space="preserve">Xài folder t up nhé :)) File m lấy từ AI lỏ quải</t>
  </si>
  <si>
    <t xml:space="preserve">English Pronunciation in Use – Elementary</t>
  </si>
  <si>
    <t xml:space="preserve">50 units; U1–27 sounds, U28–32 stress/syllables, U33–43 phrases/sentences, U44–50 conversation</t>
  </si>
  <si>
    <t>https://drive.google.com/drive/folders/1qQGAwSwEfSI-_dcuIltgIvu2qhXMIDVM</t>
  </si>
  <si>
    <t xml:space="preserve">English Pronunciation in Use – Intermediate</t>
  </si>
  <si>
    <t xml:space="preserve">60 units; stress, intonation, fast speech, accent variation</t>
  </si>
  <si>
    <t xml:space="preserve">English Pronunciation in Use – Advanced</t>
  </si>
  <si>
    <t xml:space="preserve">60 units; fast speech, prominence, linking, intonation</t>
  </si>
  <si>
    <t xml:space="preserve">Tactics for TOEIC Listening &amp; Reading</t>
  </si>
  <si>
    <t xml:space="preserve">28 units theo vòng Parts 1–7; có practice tests</t>
  </si>
  <si>
    <t>https://drive.google.com/drive/folders/1FBkAHtjyUPZIgmhJHneB2_sZmFP4D1TD</t>
  </si>
  <si>
    <t xml:space="preserve">ETS TOEIC Listening &amp; Reading</t>
  </si>
  <si>
    <t xml:space="preserve">Sample tests và tài liệu chuẩn bị chính thức</t>
  </si>
  <si>
    <t>https://drive.google.com/drive/folders/1MbiA2TYbxmlt5JU4w6ih8rxOWXhPiAB8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</si>
</sst>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dd/mm/yyyy"/>
  </numFmts>
  <fonts count="5">
    <font>
      <sz val="11.000000"/>
      <color indexed="64"/>
      <name val="Carlito"/>
      <scheme val="minor"/>
    </font>
    <font>
      <b/>
      <sz val="14.000000"/>
      <color rgb="FF4A86E8"/>
      <name val="Nunito"/>
    </font>
    <font>
      <sz val="14.000000"/>
      <color theme="1"/>
      <name val="Nunito"/>
    </font>
    <font>
      <b/>
      <sz val="14.000000"/>
      <color theme="1"/>
      <name val="Nunito"/>
    </font>
    <font>
      <u/>
      <sz val="14.000000"/>
      <color indexed="4"/>
      <name val="Nunito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indexed="65"/>
        <bgColor indexed="6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38">
    <xf fontId="0" fillId="0" borderId="0" numFmtId="0" xfId="0" applyAlignment="1">
      <alignment readingOrder="0"/>
    </xf>
    <xf fontId="1" fillId="0" borderId="0" numFmtId="0" xfId="0" applyFont="1" applyAlignment="1">
      <alignment readingOrder="0"/>
    </xf>
    <xf fontId="2" fillId="0" borderId="0" numFmtId="0" xfId="0" applyFont="1"/>
    <xf fontId="3" fillId="2" borderId="1" numFmtId="0" xfId="0" applyFont="1" applyFill="1" applyBorder="1" applyAlignment="1">
      <alignment vertical="top" wrapText="1"/>
    </xf>
    <xf fontId="2" fillId="0" borderId="0" numFmtId="0" xfId="0" applyFont="1" applyAlignment="1">
      <alignment vertical="top" wrapText="1"/>
    </xf>
    <xf fontId="2" fillId="2" borderId="1" numFmtId="0" xfId="0" applyFont="1" applyFill="1" applyBorder="1" applyAlignment="1">
      <alignment vertical="top" wrapText="1"/>
    </xf>
    <xf fontId="2" fillId="2" borderId="1" numFmtId="9" xfId="0" applyNumberFormat="1" applyFont="1" applyFill="1" applyBorder="1" applyAlignment="1">
      <alignment vertical="top" wrapText="1"/>
    </xf>
    <xf fontId="2" fillId="2" borderId="1" numFmtId="164" xfId="0" applyNumberFormat="1" applyFont="1" applyFill="1" applyBorder="1" applyAlignment="1">
      <alignment vertical="top" wrapText="1"/>
    </xf>
    <xf fontId="3" fillId="3" borderId="1" numFmtId="0" xfId="0" applyFont="1" applyFill="1" applyBorder="1" applyAlignment="1">
      <alignment vertical="top" wrapText="1"/>
    </xf>
    <xf fontId="2" fillId="0" borderId="1" numFmtId="0" xfId="0" applyFont="1" applyBorder="1" applyAlignment="1">
      <alignment vertical="top" wrapText="1"/>
    </xf>
    <xf fontId="1" fillId="0" borderId="0" numFmtId="0" xfId="0" applyFont="1"/>
    <xf fontId="2" fillId="0" borderId="0" numFmtId="0" xfId="0" applyFont="1" applyAlignment="1">
      <alignment readingOrder="0"/>
    </xf>
    <xf fontId="3" fillId="3" borderId="1" numFmtId="0" xfId="0" applyFont="1" applyFill="1" applyBorder="1" applyAlignment="1">
      <alignment horizontal="center" vertical="top" wrapText="1"/>
    </xf>
    <xf fontId="3" fillId="3" borderId="1" numFmtId="0" xfId="0" applyFont="1" applyFill="1" applyBorder="1" applyAlignment="1">
      <alignment horizontal="center" readingOrder="0" vertical="top" wrapText="1"/>
    </xf>
    <xf fontId="3" fillId="2" borderId="1" numFmtId="0" xfId="0" applyFont="1" applyFill="1" applyBorder="1" applyAlignment="1">
      <alignment horizontal="center" readingOrder="0" vertical="top" wrapText="1"/>
    </xf>
    <xf fontId="3" fillId="4" borderId="1" numFmtId="0" xfId="0" applyFont="1" applyFill="1" applyBorder="1" applyAlignment="1">
      <alignment horizontal="center" readingOrder="0" vertical="top" wrapText="1"/>
    </xf>
    <xf fontId="2" fillId="5" borderId="1" numFmtId="0" xfId="0" applyFont="1" applyFill="1" applyBorder="1" applyAlignment="1">
      <alignment horizontal="center" vertical="top" wrapText="1"/>
    </xf>
    <xf fontId="2" fillId="5" borderId="1" numFmtId="165" xfId="0" applyNumberFormat="1" applyFont="1" applyFill="1" applyBorder="1" applyAlignment="1">
      <alignment horizontal="center" vertical="top" wrapText="1"/>
    </xf>
    <xf fontId="2" fillId="5" borderId="1" numFmtId="0" xfId="0" applyFont="1" applyFill="1" applyBorder="1" applyAlignment="1">
      <alignment readingOrder="0" vertical="top" wrapText="1"/>
    </xf>
    <xf fontId="2" fillId="5" borderId="1" numFmtId="0" xfId="0" applyFont="1" applyFill="1" applyBorder="1" applyAlignment="1">
      <alignment vertical="top" wrapText="1"/>
    </xf>
    <xf fontId="2" fillId="5" borderId="1" numFmtId="0" xfId="0" applyFont="1" applyFill="1" applyBorder="1"/>
    <xf fontId="2" fillId="2" borderId="1" numFmtId="0" xfId="0" applyFont="1" applyFill="1" applyBorder="1" applyAlignment="1">
      <alignment horizontal="center" readingOrder="0" vertical="top" wrapText="1"/>
    </xf>
    <xf fontId="2" fillId="4" borderId="1" numFmtId="0" xfId="0" applyFont="1" applyFill="1" applyBorder="1" applyAlignment="1">
      <alignment horizontal="center" readingOrder="0" vertical="top" wrapText="1"/>
    </xf>
    <xf fontId="2" fillId="5" borderId="1" numFmtId="0" xfId="0" applyFont="1" applyFill="1" applyBorder="1" applyAlignment="1">
      <alignment readingOrder="0" wrapText="1"/>
    </xf>
    <xf fontId="2" fillId="5" borderId="1" numFmtId="0" xfId="0" applyFont="1" applyFill="1" applyBorder="1" applyAlignment="1">
      <alignment readingOrder="0"/>
    </xf>
    <xf fontId="4" fillId="5" borderId="1" numFmtId="0" xfId="0" applyFont="1" applyFill="1" applyBorder="1" applyAlignment="1">
      <alignment readingOrder="0"/>
    </xf>
    <xf fontId="2" fillId="4" borderId="1" numFmtId="0" xfId="0" applyFont="1" applyFill="1" applyBorder="1" applyAlignment="1">
      <alignment horizontal="center" vertical="top" wrapText="1"/>
    </xf>
    <xf fontId="2" fillId="2" borderId="1" numFmtId="0" xfId="0" applyFont="1" applyFill="1" applyBorder="1" applyAlignment="1">
      <alignment horizontal="center" vertical="top" wrapText="1"/>
    </xf>
    <xf fontId="2" fillId="6" borderId="1" numFmtId="0" xfId="0" applyFont="1" applyFill="1" applyBorder="1" applyAlignment="1">
      <alignment horizontal="center" vertical="top" wrapText="1"/>
    </xf>
    <xf fontId="2" fillId="6" borderId="1" numFmtId="165" xfId="0" applyNumberFormat="1" applyFont="1" applyFill="1" applyBorder="1" applyAlignment="1">
      <alignment horizontal="center" vertical="top" wrapText="1"/>
    </xf>
    <xf fontId="2" fillId="6" borderId="1" numFmtId="0" xfId="0" applyFont="1" applyFill="1" applyBorder="1" applyAlignment="1">
      <alignment vertical="top" wrapText="1"/>
    </xf>
    <xf fontId="2" fillId="0" borderId="1" numFmtId="0" xfId="0" applyFont="1" applyBorder="1"/>
    <xf fontId="3" fillId="0" borderId="0" numFmtId="0" xfId="0" applyFont="1"/>
    <xf fontId="3" fillId="0" borderId="1" numFmtId="0" xfId="0" applyFont="1" applyBorder="1" applyAlignment="1">
      <alignment vertical="top" wrapText="1"/>
    </xf>
    <xf fontId="3" fillId="0" borderId="1" numFmtId="0" xfId="0" applyFont="1" applyBorder="1" applyAlignment="1">
      <alignment readingOrder="0" vertical="top" wrapText="1"/>
    </xf>
    <xf fontId="2" fillId="0" borderId="1" numFmtId="0" xfId="0" applyFont="1" applyBorder="1" applyAlignment="1">
      <alignment readingOrder="0" vertical="top" wrapText="1"/>
    </xf>
    <xf fontId="4" fillId="0" borderId="1" numFmtId="0" xfId="0" applyFont="1" applyBorder="1" applyAlignment="1">
      <alignment readingOrder="0" vertical="top" wrapText="1"/>
    </xf>
    <xf fontId="2" fillId="0" borderId="1" numFmtId="0" xfId="0" applyFont="1" applyBorder="1" applyAlignment="1">
      <alignment readingOrder="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hyperlink" Target="https://github.com/htn5299/toeic" TargetMode="Externa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hyperlink" Target="https://drive.google.com/file/d/197VlGqCeCnVGN0J2KEw8J_kJPU_lqoyP/view?usp=sharing" TargetMode="External"/><Relationship  Id="rId2" Type="http://schemas.openxmlformats.org/officeDocument/2006/relationships/hyperlink" Target="https://drive.google.com/drive/folders/1msdAjbrSD14rLuiBBClqKdi5n1zp_KAR?usp=sharing" TargetMode="External"/><Relationship  Id="rId3" Type="http://schemas.openxmlformats.org/officeDocument/2006/relationships/hyperlink" Target="https://drive.google.com/drive/folders/1qQGAwSwEfSI-_dcuIltgIvu2qhXMIDVM" TargetMode="External"/><Relationship  Id="rId4" Type="http://schemas.openxmlformats.org/officeDocument/2006/relationships/hyperlink" Target="https://drive.google.com/drive/folders/1FBkAHtjyUPZIgmhJHneB2_sZmFP4D1TD" TargetMode="External"/><Relationship  Id="rId5" Type="http://schemas.openxmlformats.org/officeDocument/2006/relationships/hyperlink" Target="https://drive.google.com/drive/folders/1MbiA2TYbxmlt5JU4w6ih8rxOWXhPiA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" customHeight="1"/>
  <cols>
    <col customWidth="1" min="1" max="1" width="28"/>
    <col customWidth="1" min="2" max="2" width="16"/>
    <col customWidth="1" min="3" max="3" width="19"/>
    <col customWidth="1" min="4" max="4" width="23"/>
    <col customWidth="1" min="5" max="5" width="34"/>
    <col customWidth="1" min="6" max="6" width="28"/>
    <col customWidth="1" min="7" max="7" width="48"/>
    <col customWidth="1" min="8" max="8" width="45"/>
    <col customWidth="1" min="9" max="26" width="8.6300000000000008"/>
  </cols>
  <sheetData>
    <row r="1" ht="20.25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0.25">
      <c r="A3" s="3" t="s">
        <v>1</v>
      </c>
      <c r="B3" s="3" t="s">
        <v>2</v>
      </c>
      <c r="C3" s="4"/>
      <c r="D3" s="4"/>
      <c r="E3" s="4"/>
      <c r="F3" s="4"/>
      <c r="G3" s="4"/>
      <c r="H3" s="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0.25">
      <c r="A4" s="5" t="s">
        <v>3</v>
      </c>
      <c r="B4" s="5">
        <v>65</v>
      </c>
      <c r="C4" s="4"/>
      <c r="D4" s="4"/>
      <c r="E4" s="4"/>
      <c r="F4" s="4"/>
      <c r="G4" s="4"/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0.25">
      <c r="A5" s="5" t="s">
        <v>4</v>
      </c>
      <c r="B5" s="5">
        <f>COUNTIF('Lộ trình 65 buổi'!K6:K70,"Hoàn thành")</f>
        <v>6</v>
      </c>
      <c r="C5" s="4"/>
      <c r="D5" s="4"/>
      <c r="E5" s="4"/>
      <c r="F5" s="4"/>
      <c r="G5" s="4"/>
      <c r="H5" s="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0.25">
      <c r="A6" s="5" t="s">
        <v>5</v>
      </c>
      <c r="B6" s="6">
        <f>B5/B4</f>
        <v>0.092307692309999995</v>
      </c>
      <c r="C6" s="4"/>
      <c r="D6" s="4"/>
      <c r="E6" s="4"/>
      <c r="F6" s="4"/>
      <c r="G6" s="4"/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.25">
      <c r="A7" s="5" t="s">
        <v>6</v>
      </c>
      <c r="B7" s="7">
        <f>SUM('Lộ trình 65 buổi'!I6:I70)/60</f>
        <v>130.83333329999999</v>
      </c>
      <c r="C7" s="4"/>
      <c r="D7" s="4"/>
      <c r="E7" s="4"/>
      <c r="F7" s="4"/>
      <c r="G7" s="4"/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>
      <c r="A8" s="4"/>
      <c r="B8" s="4"/>
      <c r="C8" s="4"/>
      <c r="D8" s="4"/>
      <c r="E8" s="4"/>
      <c r="F8" s="4"/>
      <c r="G8" s="4"/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.25">
      <c r="A9" s="4"/>
      <c r="B9" s="4"/>
      <c r="C9" s="4"/>
      <c r="D9" s="4"/>
      <c r="E9" s="4"/>
      <c r="F9" s="4"/>
      <c r="G9" s="4"/>
      <c r="H9" s="4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0" customHeight="1">
      <c r="A10" s="8" t="s">
        <v>7</v>
      </c>
      <c r="B10" s="8" t="s">
        <v>8</v>
      </c>
      <c r="C10" s="8" t="s">
        <v>9</v>
      </c>
      <c r="D10" s="8" t="s">
        <v>10</v>
      </c>
      <c r="E10" s="8" t="s">
        <v>11</v>
      </c>
      <c r="F10" s="8" t="s">
        <v>12</v>
      </c>
      <c r="G10" s="8" t="s">
        <v>13</v>
      </c>
      <c r="H10" s="8" t="s">
        <v>14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78" customHeight="1">
      <c r="A11" s="9" t="s">
        <v>15</v>
      </c>
      <c r="B11" s="9" t="s">
        <v>16</v>
      </c>
      <c r="C11" s="9" t="s">
        <v>17</v>
      </c>
      <c r="D11" s="9" t="s">
        <v>18</v>
      </c>
      <c r="E11" s="9" t="s">
        <v>19</v>
      </c>
      <c r="F11" s="9" t="s">
        <v>20</v>
      </c>
      <c r="G11" s="9" t="s">
        <v>21</v>
      </c>
      <c r="H11" s="9" t="s">
        <v>22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78" customHeight="1">
      <c r="A12" s="9" t="s">
        <v>23</v>
      </c>
      <c r="B12" s="9" t="s">
        <v>24</v>
      </c>
      <c r="C12" s="9" t="s">
        <v>25</v>
      </c>
      <c r="D12" s="9" t="s">
        <v>26</v>
      </c>
      <c r="E12" s="9" t="s">
        <v>27</v>
      </c>
      <c r="F12" s="9" t="s">
        <v>28</v>
      </c>
      <c r="G12" s="9" t="s">
        <v>29</v>
      </c>
      <c r="H12" s="9" t="s">
        <v>30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78" customHeight="1">
      <c r="A13" s="9" t="s">
        <v>31</v>
      </c>
      <c r="B13" s="9" t="s">
        <v>32</v>
      </c>
      <c r="C13" s="9" t="s">
        <v>33</v>
      </c>
      <c r="D13" s="9" t="s">
        <v>34</v>
      </c>
      <c r="E13" s="9" t="s">
        <v>35</v>
      </c>
      <c r="F13" s="9" t="s">
        <v>36</v>
      </c>
      <c r="G13" s="9" t="s">
        <v>37</v>
      </c>
      <c r="H13" s="9" t="s">
        <v>38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78" customHeight="1">
      <c r="A14" s="9" t="s">
        <v>39</v>
      </c>
      <c r="B14" s="9" t="s">
        <v>40</v>
      </c>
      <c r="C14" s="9" t="s">
        <v>41</v>
      </c>
      <c r="D14" s="9" t="s">
        <v>42</v>
      </c>
      <c r="E14" s="9" t="s">
        <v>43</v>
      </c>
      <c r="F14" s="9" t="s">
        <v>44</v>
      </c>
      <c r="G14" s="9" t="s">
        <v>45</v>
      </c>
      <c r="H14" s="9" t="s">
        <v>46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0.25">
      <c r="A15" s="4"/>
      <c r="B15" s="4"/>
      <c r="C15" s="4"/>
      <c r="D15" s="4"/>
      <c r="E15" s="4"/>
      <c r="F15" s="4"/>
      <c r="G15" s="4"/>
      <c r="H15" s="4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0.25">
      <c r="A16" s="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H1"/>
    <mergeCell ref="A16:H16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5" topLeftCell="A6" activePane="bottomLeft" state="frozen"/>
      <selection activeCell="B7" activeCellId="0" sqref="B7"/>
    </sheetView>
  </sheetViews>
  <sheetFormatPr defaultColWidth="12.630000000000001" defaultRowHeight="15" customHeight="1"/>
  <cols>
    <col customWidth="1" min="1" max="1" width="7"/>
    <col customWidth="1" min="2" max="2" width="17.629999999999999"/>
    <col customWidth="1" min="3" max="3" width="9"/>
    <col customWidth="1" min="4" max="4" width="25"/>
    <col customWidth="1" min="5" max="5" width="51.630000000000003"/>
    <col customWidth="1" min="6" max="6" width="28.129999999999999"/>
    <col customWidth="1" hidden="1" min="7" max="7" width="57.380000000000003"/>
    <col customWidth="1" hidden="1" min="8" max="8" width="42"/>
    <col customWidth="1" min="9" max="9" width="12.880000000000001"/>
    <col customWidth="1" min="10" max="10" width="38.880000000000003"/>
    <col customWidth="1" min="11" max="12" width="14"/>
    <col customWidth="1" min="13" max="25" width="8.6300000000000008"/>
  </cols>
  <sheetData>
    <row r="1" ht="25.5" customHeight="1">
      <c r="A1" s="10"/>
      <c r="B1" s="10"/>
      <c r="C1" s="10"/>
      <c r="D1" s="10"/>
      <c r="E1" s="10"/>
      <c r="F1" s="10"/>
      <c r="G1" s="10"/>
      <c r="H1" s="10"/>
      <c r="I1" s="10"/>
      <c r="J1" s="2"/>
      <c r="K1" s="10"/>
      <c r="L1" s="10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9.5" customHeight="1">
      <c r="A2" s="11" t="s">
        <v>47</v>
      </c>
      <c r="B2" s="11"/>
      <c r="C2" s="11"/>
      <c r="D2" s="11"/>
      <c r="E2" s="11"/>
      <c r="F2" s="11"/>
      <c r="G2" s="11"/>
      <c r="H2" s="11"/>
      <c r="I2" s="11"/>
      <c r="J2" s="2"/>
      <c r="K2" s="11"/>
      <c r="L2" s="1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9.5" customHeight="1">
      <c r="A3" s="11" t="s">
        <v>48</v>
      </c>
      <c r="B3" s="11"/>
      <c r="C3" s="11"/>
      <c r="D3" s="11"/>
      <c r="E3" s="11"/>
      <c r="F3" s="11"/>
      <c r="G3" s="11"/>
      <c r="H3" s="11"/>
      <c r="I3" s="11"/>
      <c r="J3" s="2"/>
      <c r="K3" s="11"/>
      <c r="L3" s="11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42" customHeight="1">
      <c r="A5" s="12" t="s">
        <v>8</v>
      </c>
      <c r="B5" s="12" t="s">
        <v>49</v>
      </c>
      <c r="C5" s="12" t="s">
        <v>50</v>
      </c>
      <c r="D5" s="12" t="s">
        <v>7</v>
      </c>
      <c r="E5" s="12" t="s">
        <v>51</v>
      </c>
      <c r="F5" s="12" t="s">
        <v>52</v>
      </c>
      <c r="G5" s="12" t="s">
        <v>53</v>
      </c>
      <c r="H5" s="12" t="s">
        <v>54</v>
      </c>
      <c r="I5" s="12" t="s">
        <v>55</v>
      </c>
      <c r="J5" s="13" t="s">
        <v>56</v>
      </c>
      <c r="K5" s="14" t="s">
        <v>57</v>
      </c>
      <c r="L5" s="15" t="s">
        <v>58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78" customHeight="1">
      <c r="A6" s="16">
        <v>1</v>
      </c>
      <c r="B6" s="17">
        <v>46279</v>
      </c>
      <c r="C6" s="16" t="s">
        <v>59</v>
      </c>
      <c r="D6" s="16" t="s">
        <v>15</v>
      </c>
      <c r="E6" s="18" t="s">
        <v>60</v>
      </c>
      <c r="F6" s="19" t="s">
        <v>61</v>
      </c>
      <c r="G6" s="18" t="s">
        <v>62</v>
      </c>
      <c r="H6" s="19" t="s">
        <v>63</v>
      </c>
      <c r="I6" s="16">
        <v>120</v>
      </c>
      <c r="J6" s="20"/>
      <c r="K6" s="21" t="s">
        <v>64</v>
      </c>
      <c r="L6" s="22" t="s">
        <v>64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78" customHeight="1">
      <c r="A7" s="16">
        <v>1</v>
      </c>
      <c r="B7" s="17">
        <v>46280</v>
      </c>
      <c r="C7" s="16" t="s">
        <v>65</v>
      </c>
      <c r="D7" s="16" t="s">
        <v>15</v>
      </c>
      <c r="E7" s="19" t="s">
        <v>60</v>
      </c>
      <c r="F7" s="18" t="s">
        <v>66</v>
      </c>
      <c r="G7" s="18" t="s">
        <v>67</v>
      </c>
      <c r="H7" s="19" t="s">
        <v>63</v>
      </c>
      <c r="I7" s="16">
        <v>120</v>
      </c>
      <c r="J7" s="23"/>
      <c r="K7" s="21" t="s">
        <v>64</v>
      </c>
      <c r="L7" s="22" t="s">
        <v>64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78" customHeight="1">
      <c r="A8" s="16">
        <v>1</v>
      </c>
      <c r="B8" s="17">
        <v>46281</v>
      </c>
      <c r="C8" s="16" t="s">
        <v>68</v>
      </c>
      <c r="D8" s="16" t="s">
        <v>15</v>
      </c>
      <c r="E8" s="19" t="s">
        <v>60</v>
      </c>
      <c r="F8" s="19" t="s">
        <v>69</v>
      </c>
      <c r="G8" s="18" t="s">
        <v>70</v>
      </c>
      <c r="H8" s="19" t="s">
        <v>63</v>
      </c>
      <c r="I8" s="16">
        <v>120</v>
      </c>
      <c r="J8" s="24"/>
      <c r="K8" s="21" t="s">
        <v>64</v>
      </c>
      <c r="L8" s="22" t="s">
        <v>64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78" customHeight="1">
      <c r="A9" s="16">
        <v>1</v>
      </c>
      <c r="B9" s="17">
        <v>46282</v>
      </c>
      <c r="C9" s="16" t="s">
        <v>71</v>
      </c>
      <c r="D9" s="16" t="s">
        <v>15</v>
      </c>
      <c r="E9" s="19" t="s">
        <v>60</v>
      </c>
      <c r="F9" s="19" t="s">
        <v>72</v>
      </c>
      <c r="G9" s="18" t="s">
        <v>73</v>
      </c>
      <c r="H9" s="19" t="s">
        <v>63</v>
      </c>
      <c r="I9" s="16">
        <v>120</v>
      </c>
      <c r="J9" s="20"/>
      <c r="K9" s="21" t="s">
        <v>64</v>
      </c>
      <c r="L9" s="22" t="s">
        <v>64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78" customHeight="1">
      <c r="A10" s="16">
        <v>1</v>
      </c>
      <c r="B10" s="17">
        <v>46283</v>
      </c>
      <c r="C10" s="16" t="s">
        <v>74</v>
      </c>
      <c r="D10" s="16" t="s">
        <v>15</v>
      </c>
      <c r="E10" s="19" t="s">
        <v>60</v>
      </c>
      <c r="F10" s="19" t="s">
        <v>75</v>
      </c>
      <c r="G10" s="18" t="s">
        <v>76</v>
      </c>
      <c r="H10" s="19" t="s">
        <v>77</v>
      </c>
      <c r="I10" s="16">
        <v>120</v>
      </c>
      <c r="J10" s="24" t="s">
        <v>78</v>
      </c>
      <c r="K10" s="21" t="s">
        <v>64</v>
      </c>
      <c r="L10" s="22" t="s">
        <v>64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78" customHeight="1">
      <c r="A11" s="16">
        <v>2</v>
      </c>
      <c r="B11" s="17">
        <v>46286</v>
      </c>
      <c r="C11" s="16" t="s">
        <v>59</v>
      </c>
      <c r="D11" s="16" t="s">
        <v>15</v>
      </c>
      <c r="E11" s="19" t="s">
        <v>60</v>
      </c>
      <c r="F11" s="19" t="s">
        <v>79</v>
      </c>
      <c r="G11" s="18" t="s">
        <v>80</v>
      </c>
      <c r="H11" s="19" t="s">
        <v>63</v>
      </c>
      <c r="I11" s="16">
        <v>120</v>
      </c>
      <c r="J11" s="25" t="s">
        <v>81</v>
      </c>
      <c r="K11" s="21" t="s">
        <v>64</v>
      </c>
      <c r="L11" s="26" t="s">
        <v>82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78" customHeight="1">
      <c r="A12" s="16">
        <v>2</v>
      </c>
      <c r="B12" s="17">
        <v>46287</v>
      </c>
      <c r="C12" s="16" t="s">
        <v>65</v>
      </c>
      <c r="D12" s="16" t="s">
        <v>15</v>
      </c>
      <c r="E12" s="18" t="s">
        <v>60</v>
      </c>
      <c r="F12" s="18" t="s">
        <v>83</v>
      </c>
      <c r="G12" s="18" t="s">
        <v>84</v>
      </c>
      <c r="H12" s="19" t="s">
        <v>85</v>
      </c>
      <c r="I12" s="16">
        <v>120</v>
      </c>
      <c r="J12" s="20"/>
      <c r="K12" s="27" t="s">
        <v>82</v>
      </c>
      <c r="L12" s="26" t="s">
        <v>82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78" customHeight="1">
      <c r="A13" s="16">
        <v>2</v>
      </c>
      <c r="B13" s="17">
        <v>46288</v>
      </c>
      <c r="C13" s="16" t="s">
        <v>68</v>
      </c>
      <c r="D13" s="16" t="s">
        <v>15</v>
      </c>
      <c r="E13" s="18" t="s">
        <v>86</v>
      </c>
      <c r="F13" s="18" t="s">
        <v>87</v>
      </c>
      <c r="G13" s="18" t="s">
        <v>88</v>
      </c>
      <c r="H13" s="19" t="s">
        <v>63</v>
      </c>
      <c r="I13" s="16">
        <v>120</v>
      </c>
      <c r="J13" s="20"/>
      <c r="K13" s="27" t="s">
        <v>82</v>
      </c>
      <c r="L13" s="26" t="s">
        <v>82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78" customHeight="1">
      <c r="A14" s="16">
        <v>2</v>
      </c>
      <c r="B14" s="17">
        <v>46289</v>
      </c>
      <c r="C14" s="16" t="s">
        <v>71</v>
      </c>
      <c r="D14" s="16" t="s">
        <v>15</v>
      </c>
      <c r="E14" s="18" t="s">
        <v>86</v>
      </c>
      <c r="F14" s="18" t="s">
        <v>89</v>
      </c>
      <c r="G14" s="18" t="s">
        <v>90</v>
      </c>
      <c r="H14" s="19" t="s">
        <v>63</v>
      </c>
      <c r="I14" s="16">
        <v>120</v>
      </c>
      <c r="J14" s="20"/>
      <c r="K14" s="27" t="s">
        <v>82</v>
      </c>
      <c r="L14" s="26" t="s">
        <v>82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78" customHeight="1">
      <c r="A15" s="16">
        <v>2</v>
      </c>
      <c r="B15" s="17">
        <v>46290</v>
      </c>
      <c r="C15" s="16" t="s">
        <v>74</v>
      </c>
      <c r="D15" s="16" t="s">
        <v>15</v>
      </c>
      <c r="E15" s="18" t="s">
        <v>86</v>
      </c>
      <c r="F15" s="18" t="s">
        <v>91</v>
      </c>
      <c r="G15" s="18" t="s">
        <v>92</v>
      </c>
      <c r="H15" s="19" t="s">
        <v>77</v>
      </c>
      <c r="I15" s="16">
        <v>120</v>
      </c>
      <c r="J15" s="20"/>
      <c r="K15" s="27" t="s">
        <v>82</v>
      </c>
      <c r="L15" s="26" t="s">
        <v>82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78" customHeight="1">
      <c r="A16" s="16">
        <v>3</v>
      </c>
      <c r="B16" s="17">
        <v>46293</v>
      </c>
      <c r="C16" s="16" t="s">
        <v>59</v>
      </c>
      <c r="D16" s="16" t="s">
        <v>15</v>
      </c>
      <c r="E16" s="18" t="s">
        <v>86</v>
      </c>
      <c r="F16" s="18" t="s">
        <v>93</v>
      </c>
      <c r="G16" s="18" t="s">
        <v>94</v>
      </c>
      <c r="H16" s="19" t="s">
        <v>63</v>
      </c>
      <c r="I16" s="16">
        <v>120</v>
      </c>
      <c r="J16" s="20"/>
      <c r="K16" s="27" t="s">
        <v>82</v>
      </c>
      <c r="L16" s="26" t="s">
        <v>82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78" customHeight="1">
      <c r="A17" s="16">
        <v>3</v>
      </c>
      <c r="B17" s="17">
        <v>46294</v>
      </c>
      <c r="C17" s="16" t="s">
        <v>65</v>
      </c>
      <c r="D17" s="16" t="s">
        <v>15</v>
      </c>
      <c r="E17" s="18" t="s">
        <v>86</v>
      </c>
      <c r="F17" s="18" t="s">
        <v>95</v>
      </c>
      <c r="G17" s="18" t="s">
        <v>96</v>
      </c>
      <c r="H17" s="19" t="s">
        <v>63</v>
      </c>
      <c r="I17" s="16">
        <v>120</v>
      </c>
      <c r="J17" s="20"/>
      <c r="K17" s="27" t="s">
        <v>82</v>
      </c>
      <c r="L17" s="26" t="s">
        <v>82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78" customHeight="1">
      <c r="A18" s="16">
        <v>3</v>
      </c>
      <c r="B18" s="17">
        <v>46295</v>
      </c>
      <c r="C18" s="16" t="s">
        <v>68</v>
      </c>
      <c r="D18" s="16" t="s">
        <v>15</v>
      </c>
      <c r="E18" s="18" t="s">
        <v>86</v>
      </c>
      <c r="F18" s="18" t="s">
        <v>97</v>
      </c>
      <c r="G18" s="18" t="s">
        <v>98</v>
      </c>
      <c r="H18" s="19" t="s">
        <v>63</v>
      </c>
      <c r="I18" s="16">
        <v>120</v>
      </c>
      <c r="J18" s="20"/>
      <c r="K18" s="27" t="s">
        <v>82</v>
      </c>
      <c r="L18" s="26" t="s">
        <v>82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78" customHeight="1">
      <c r="A19" s="16">
        <v>3</v>
      </c>
      <c r="B19" s="17">
        <v>46296</v>
      </c>
      <c r="C19" s="16" t="s">
        <v>71</v>
      </c>
      <c r="D19" s="16" t="s">
        <v>15</v>
      </c>
      <c r="E19" s="18" t="s">
        <v>86</v>
      </c>
      <c r="F19" s="18" t="s">
        <v>99</v>
      </c>
      <c r="G19" s="18" t="s">
        <v>100</v>
      </c>
      <c r="H19" s="19" t="s">
        <v>63</v>
      </c>
      <c r="I19" s="16">
        <v>120</v>
      </c>
      <c r="J19" s="20"/>
      <c r="K19" s="27" t="s">
        <v>82</v>
      </c>
      <c r="L19" s="26" t="s">
        <v>82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78" customHeight="1">
      <c r="A20" s="16">
        <v>3</v>
      </c>
      <c r="B20" s="17">
        <v>46297</v>
      </c>
      <c r="C20" s="16" t="s">
        <v>74</v>
      </c>
      <c r="D20" s="16" t="s">
        <v>15</v>
      </c>
      <c r="E20" s="18" t="s">
        <v>86</v>
      </c>
      <c r="F20" s="18" t="s">
        <v>101</v>
      </c>
      <c r="G20" s="18" t="s">
        <v>102</v>
      </c>
      <c r="H20" s="19" t="s">
        <v>77</v>
      </c>
      <c r="I20" s="16">
        <v>120</v>
      </c>
      <c r="J20" s="20"/>
      <c r="K20" s="27" t="s">
        <v>82</v>
      </c>
      <c r="L20" s="26" t="s">
        <v>82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78" customHeight="1">
      <c r="A21" s="16">
        <v>4</v>
      </c>
      <c r="B21" s="17">
        <v>46300</v>
      </c>
      <c r="C21" s="16" t="s">
        <v>59</v>
      </c>
      <c r="D21" s="16" t="s">
        <v>23</v>
      </c>
      <c r="E21" s="18" t="s">
        <v>86</v>
      </c>
      <c r="F21" s="18" t="s">
        <v>103</v>
      </c>
      <c r="G21" s="19" t="s">
        <v>104</v>
      </c>
      <c r="H21" s="19" t="s">
        <v>63</v>
      </c>
      <c r="I21" s="16">
        <v>120</v>
      </c>
      <c r="J21" s="20"/>
      <c r="K21" s="27" t="s">
        <v>82</v>
      </c>
      <c r="L21" s="26" t="s">
        <v>82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78" customHeight="1">
      <c r="A22" s="16">
        <v>4</v>
      </c>
      <c r="B22" s="17">
        <v>46301</v>
      </c>
      <c r="C22" s="16" t="s">
        <v>65</v>
      </c>
      <c r="D22" s="16" t="s">
        <v>23</v>
      </c>
      <c r="E22" s="18" t="s">
        <v>86</v>
      </c>
      <c r="F22" s="18" t="s">
        <v>105</v>
      </c>
      <c r="G22" s="19" t="s">
        <v>106</v>
      </c>
      <c r="H22" s="19" t="s">
        <v>63</v>
      </c>
      <c r="I22" s="16">
        <v>120</v>
      </c>
      <c r="J22" s="20"/>
      <c r="K22" s="27" t="s">
        <v>82</v>
      </c>
      <c r="L22" s="26" t="s">
        <v>82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78" customHeight="1">
      <c r="A23" s="16">
        <v>4</v>
      </c>
      <c r="B23" s="17">
        <v>46302</v>
      </c>
      <c r="C23" s="16" t="s">
        <v>68</v>
      </c>
      <c r="D23" s="16" t="s">
        <v>23</v>
      </c>
      <c r="E23" s="18" t="s">
        <v>86</v>
      </c>
      <c r="F23" s="18" t="s">
        <v>107</v>
      </c>
      <c r="G23" s="19" t="s">
        <v>108</v>
      </c>
      <c r="H23" s="19" t="s">
        <v>63</v>
      </c>
      <c r="I23" s="16">
        <v>120</v>
      </c>
      <c r="J23" s="20"/>
      <c r="K23" s="27" t="s">
        <v>82</v>
      </c>
      <c r="L23" s="26" t="s">
        <v>82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78" customHeight="1">
      <c r="A24" s="16">
        <v>4</v>
      </c>
      <c r="B24" s="17">
        <v>46303</v>
      </c>
      <c r="C24" s="16" t="s">
        <v>71</v>
      </c>
      <c r="D24" s="16" t="s">
        <v>23</v>
      </c>
      <c r="E24" s="18" t="s">
        <v>86</v>
      </c>
      <c r="F24" s="18" t="s">
        <v>109</v>
      </c>
      <c r="G24" s="19" t="s">
        <v>110</v>
      </c>
      <c r="H24" s="19" t="s">
        <v>63</v>
      </c>
      <c r="I24" s="16">
        <v>120</v>
      </c>
      <c r="J24" s="20"/>
      <c r="K24" s="27" t="s">
        <v>82</v>
      </c>
      <c r="L24" s="26" t="s">
        <v>82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78" customHeight="1">
      <c r="A25" s="16">
        <v>4</v>
      </c>
      <c r="B25" s="17">
        <v>46304</v>
      </c>
      <c r="C25" s="16" t="s">
        <v>74</v>
      </c>
      <c r="D25" s="16" t="s">
        <v>23</v>
      </c>
      <c r="E25" s="18" t="s">
        <v>86</v>
      </c>
      <c r="F25" s="18" t="s">
        <v>111</v>
      </c>
      <c r="G25" s="19" t="s">
        <v>112</v>
      </c>
      <c r="H25" s="19" t="s">
        <v>77</v>
      </c>
      <c r="I25" s="16">
        <v>120</v>
      </c>
      <c r="J25" s="24"/>
      <c r="K25" s="27" t="s">
        <v>82</v>
      </c>
      <c r="L25" s="26" t="s">
        <v>82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78" customHeight="1">
      <c r="A26" s="16">
        <v>5</v>
      </c>
      <c r="B26" s="17">
        <v>46307</v>
      </c>
      <c r="C26" s="16" t="s">
        <v>59</v>
      </c>
      <c r="D26" s="16" t="s">
        <v>23</v>
      </c>
      <c r="E26" s="18" t="s">
        <v>86</v>
      </c>
      <c r="F26" s="18" t="s">
        <v>113</v>
      </c>
      <c r="G26" s="19" t="s">
        <v>114</v>
      </c>
      <c r="H26" s="19" t="s">
        <v>63</v>
      </c>
      <c r="I26" s="16">
        <v>120</v>
      </c>
      <c r="J26" s="24" t="s">
        <v>115</v>
      </c>
      <c r="K26" s="27" t="s">
        <v>82</v>
      </c>
      <c r="L26" s="26" t="s">
        <v>82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78" customHeight="1">
      <c r="A27" s="16">
        <v>5</v>
      </c>
      <c r="B27" s="17">
        <v>46308</v>
      </c>
      <c r="C27" s="16" t="s">
        <v>65</v>
      </c>
      <c r="D27" s="16" t="s">
        <v>23</v>
      </c>
      <c r="E27" s="18" t="s">
        <v>86</v>
      </c>
      <c r="F27" s="18" t="s">
        <v>116</v>
      </c>
      <c r="G27" s="19" t="s">
        <v>117</v>
      </c>
      <c r="H27" s="19" t="s">
        <v>63</v>
      </c>
      <c r="I27" s="16">
        <v>120</v>
      </c>
      <c r="J27" s="24" t="s">
        <v>118</v>
      </c>
      <c r="K27" s="27" t="s">
        <v>82</v>
      </c>
      <c r="L27" s="26" t="s">
        <v>82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78" customHeight="1">
      <c r="A28" s="16">
        <v>5</v>
      </c>
      <c r="B28" s="17">
        <v>46309</v>
      </c>
      <c r="C28" s="16" t="s">
        <v>68</v>
      </c>
      <c r="D28" s="16" t="s">
        <v>23</v>
      </c>
      <c r="E28" s="18" t="s">
        <v>119</v>
      </c>
      <c r="F28" s="18" t="s">
        <v>120</v>
      </c>
      <c r="G28" s="19" t="s">
        <v>121</v>
      </c>
      <c r="H28" s="19" t="s">
        <v>63</v>
      </c>
      <c r="I28" s="16">
        <v>120</v>
      </c>
      <c r="J28" s="24" t="s">
        <v>115</v>
      </c>
      <c r="K28" s="27" t="s">
        <v>82</v>
      </c>
      <c r="L28" s="26" t="s">
        <v>82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78" customHeight="1">
      <c r="A29" s="16">
        <v>5</v>
      </c>
      <c r="B29" s="17">
        <v>46310</v>
      </c>
      <c r="C29" s="16" t="s">
        <v>71</v>
      </c>
      <c r="D29" s="16" t="s">
        <v>23</v>
      </c>
      <c r="E29" s="18" t="s">
        <v>119</v>
      </c>
      <c r="F29" s="18" t="s">
        <v>122</v>
      </c>
      <c r="G29" s="19" t="s">
        <v>123</v>
      </c>
      <c r="H29" s="19" t="s">
        <v>63</v>
      </c>
      <c r="I29" s="16">
        <v>120</v>
      </c>
      <c r="J29" s="20"/>
      <c r="K29" s="27" t="s">
        <v>82</v>
      </c>
      <c r="L29" s="26" t="s">
        <v>82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78" customHeight="1">
      <c r="A30" s="16">
        <v>5</v>
      </c>
      <c r="B30" s="17">
        <v>46311</v>
      </c>
      <c r="C30" s="16" t="s">
        <v>74</v>
      </c>
      <c r="D30" s="16" t="s">
        <v>23</v>
      </c>
      <c r="E30" s="18" t="s">
        <v>119</v>
      </c>
      <c r="F30" s="18" t="s">
        <v>124</v>
      </c>
      <c r="G30" s="19" t="s">
        <v>125</v>
      </c>
      <c r="H30" s="19" t="s">
        <v>77</v>
      </c>
      <c r="I30" s="16">
        <v>120</v>
      </c>
      <c r="J30" s="20"/>
      <c r="K30" s="27" t="s">
        <v>82</v>
      </c>
      <c r="L30" s="26" t="s">
        <v>82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78" customHeight="1">
      <c r="A31" s="16">
        <v>6</v>
      </c>
      <c r="B31" s="17">
        <v>46314</v>
      </c>
      <c r="C31" s="16" t="s">
        <v>59</v>
      </c>
      <c r="D31" s="16" t="s">
        <v>23</v>
      </c>
      <c r="E31" s="18" t="s">
        <v>119</v>
      </c>
      <c r="F31" s="18" t="s">
        <v>126</v>
      </c>
      <c r="G31" s="19" t="s">
        <v>127</v>
      </c>
      <c r="H31" s="19" t="s">
        <v>63</v>
      </c>
      <c r="I31" s="16">
        <v>120</v>
      </c>
      <c r="J31" s="20"/>
      <c r="K31" s="27" t="s">
        <v>82</v>
      </c>
      <c r="L31" s="26" t="s">
        <v>82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78" customHeight="1">
      <c r="A32" s="16">
        <v>6</v>
      </c>
      <c r="B32" s="17">
        <v>46315</v>
      </c>
      <c r="C32" s="16" t="s">
        <v>65</v>
      </c>
      <c r="D32" s="16" t="s">
        <v>23</v>
      </c>
      <c r="E32" s="18" t="s">
        <v>119</v>
      </c>
      <c r="F32" s="18" t="s">
        <v>128</v>
      </c>
      <c r="G32" s="19" t="s">
        <v>129</v>
      </c>
      <c r="H32" s="19" t="s">
        <v>63</v>
      </c>
      <c r="I32" s="16">
        <v>120</v>
      </c>
      <c r="J32" s="20"/>
      <c r="K32" s="27" t="s">
        <v>82</v>
      </c>
      <c r="L32" s="26" t="s">
        <v>82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78" customHeight="1">
      <c r="A33" s="16">
        <v>6</v>
      </c>
      <c r="B33" s="17">
        <v>46316</v>
      </c>
      <c r="C33" s="16" t="s">
        <v>68</v>
      </c>
      <c r="D33" s="16" t="s">
        <v>23</v>
      </c>
      <c r="E33" s="18" t="s">
        <v>119</v>
      </c>
      <c r="F33" s="18" t="s">
        <v>130</v>
      </c>
      <c r="G33" s="19" t="s">
        <v>131</v>
      </c>
      <c r="H33" s="19" t="s">
        <v>63</v>
      </c>
      <c r="I33" s="16">
        <v>120</v>
      </c>
      <c r="J33" s="20"/>
      <c r="K33" s="27" t="s">
        <v>82</v>
      </c>
      <c r="L33" s="26" t="s">
        <v>82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78" customHeight="1">
      <c r="A34" s="16">
        <v>6</v>
      </c>
      <c r="B34" s="17">
        <v>46317</v>
      </c>
      <c r="C34" s="16" t="s">
        <v>71</v>
      </c>
      <c r="D34" s="16" t="s">
        <v>23</v>
      </c>
      <c r="E34" s="18" t="s">
        <v>119</v>
      </c>
      <c r="F34" s="18" t="s">
        <v>132</v>
      </c>
      <c r="G34" s="19" t="s">
        <v>133</v>
      </c>
      <c r="H34" s="19" t="s">
        <v>63</v>
      </c>
      <c r="I34" s="16">
        <v>120</v>
      </c>
      <c r="J34" s="20"/>
      <c r="K34" s="27" t="s">
        <v>82</v>
      </c>
      <c r="L34" s="26" t="s">
        <v>82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87" customHeight="1">
      <c r="A35" s="16">
        <v>6</v>
      </c>
      <c r="B35" s="17">
        <v>46318</v>
      </c>
      <c r="C35" s="16" t="s">
        <v>74</v>
      </c>
      <c r="D35" s="16" t="s">
        <v>23</v>
      </c>
      <c r="E35" s="18" t="s">
        <v>119</v>
      </c>
      <c r="F35" s="18" t="s">
        <v>134</v>
      </c>
      <c r="G35" s="19" t="s">
        <v>135</v>
      </c>
      <c r="H35" s="19" t="s">
        <v>77</v>
      </c>
      <c r="I35" s="16">
        <v>120</v>
      </c>
      <c r="J35" s="20"/>
      <c r="K35" s="27" t="s">
        <v>82</v>
      </c>
      <c r="L35" s="26" t="s">
        <v>82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03.5" customHeight="1">
      <c r="A36" s="16">
        <v>7</v>
      </c>
      <c r="B36" s="17">
        <v>46321</v>
      </c>
      <c r="C36" s="16" t="s">
        <v>59</v>
      </c>
      <c r="D36" s="16" t="s">
        <v>31</v>
      </c>
      <c r="E36" s="18" t="s">
        <v>119</v>
      </c>
      <c r="F36" s="18" t="s">
        <v>136</v>
      </c>
      <c r="G36" s="19" t="s">
        <v>137</v>
      </c>
      <c r="H36" s="19" t="s">
        <v>63</v>
      </c>
      <c r="I36" s="16">
        <v>120</v>
      </c>
      <c r="J36" s="20"/>
      <c r="K36" s="27" t="s">
        <v>82</v>
      </c>
      <c r="L36" s="26" t="s">
        <v>82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78" customHeight="1">
      <c r="A37" s="16">
        <v>7</v>
      </c>
      <c r="B37" s="17">
        <v>46322</v>
      </c>
      <c r="C37" s="16" t="s">
        <v>65</v>
      </c>
      <c r="D37" s="16" t="s">
        <v>31</v>
      </c>
      <c r="E37" s="18" t="s">
        <v>119</v>
      </c>
      <c r="F37" s="18" t="s">
        <v>138</v>
      </c>
      <c r="G37" s="19" t="s">
        <v>139</v>
      </c>
      <c r="H37" s="19" t="s">
        <v>63</v>
      </c>
      <c r="I37" s="16">
        <v>120</v>
      </c>
      <c r="J37" s="20"/>
      <c r="K37" s="27" t="s">
        <v>82</v>
      </c>
      <c r="L37" s="26" t="s">
        <v>82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78" customHeight="1">
      <c r="A38" s="16">
        <v>7</v>
      </c>
      <c r="B38" s="17">
        <v>46323</v>
      </c>
      <c r="C38" s="16" t="s">
        <v>68</v>
      </c>
      <c r="D38" s="16" t="s">
        <v>31</v>
      </c>
      <c r="E38" s="18" t="s">
        <v>119</v>
      </c>
      <c r="F38" s="18" t="s">
        <v>140</v>
      </c>
      <c r="G38" s="19" t="s">
        <v>141</v>
      </c>
      <c r="H38" s="19" t="s">
        <v>63</v>
      </c>
      <c r="I38" s="16">
        <v>120</v>
      </c>
      <c r="J38" s="20"/>
      <c r="K38" s="27" t="s">
        <v>82</v>
      </c>
      <c r="L38" s="26" t="s">
        <v>82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96" customHeight="1">
      <c r="A39" s="16">
        <v>7</v>
      </c>
      <c r="B39" s="17">
        <v>46324</v>
      </c>
      <c r="C39" s="16" t="s">
        <v>71</v>
      </c>
      <c r="D39" s="16" t="s">
        <v>31</v>
      </c>
      <c r="E39" s="18" t="s">
        <v>119</v>
      </c>
      <c r="F39" s="18" t="s">
        <v>142</v>
      </c>
      <c r="G39" s="19" t="s">
        <v>143</v>
      </c>
      <c r="H39" s="19" t="s">
        <v>63</v>
      </c>
      <c r="I39" s="16">
        <v>120</v>
      </c>
      <c r="J39" s="20"/>
      <c r="K39" s="27" t="s">
        <v>82</v>
      </c>
      <c r="L39" s="26" t="s">
        <v>82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78" customHeight="1">
      <c r="A40" s="16">
        <v>7</v>
      </c>
      <c r="B40" s="17">
        <v>46325</v>
      </c>
      <c r="C40" s="16" t="s">
        <v>74</v>
      </c>
      <c r="D40" s="16" t="s">
        <v>31</v>
      </c>
      <c r="E40" s="18" t="s">
        <v>144</v>
      </c>
      <c r="F40" s="18" t="s">
        <v>145</v>
      </c>
      <c r="G40" s="19" t="s">
        <v>146</v>
      </c>
      <c r="H40" s="19" t="s">
        <v>77</v>
      </c>
      <c r="I40" s="16">
        <v>120</v>
      </c>
      <c r="J40" s="20"/>
      <c r="K40" s="27" t="s">
        <v>82</v>
      </c>
      <c r="L40" s="26" t="s">
        <v>82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78" customHeight="1">
      <c r="A41" s="28">
        <v>8</v>
      </c>
      <c r="B41" s="29">
        <v>46328</v>
      </c>
      <c r="C41" s="28" t="s">
        <v>59</v>
      </c>
      <c r="D41" s="28" t="s">
        <v>31</v>
      </c>
      <c r="E41" s="30" t="s">
        <v>147</v>
      </c>
      <c r="F41" s="30" t="s">
        <v>148</v>
      </c>
      <c r="G41" s="30" t="s">
        <v>149</v>
      </c>
      <c r="H41" s="30" t="s">
        <v>63</v>
      </c>
      <c r="I41" s="28">
        <v>120</v>
      </c>
      <c r="J41" s="31"/>
      <c r="K41" s="27" t="s">
        <v>82</v>
      </c>
      <c r="L41" s="26" t="s">
        <v>82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78" customHeight="1">
      <c r="A42" s="28">
        <v>8</v>
      </c>
      <c r="B42" s="29">
        <v>46329</v>
      </c>
      <c r="C42" s="28" t="s">
        <v>65</v>
      </c>
      <c r="D42" s="28" t="s">
        <v>31</v>
      </c>
      <c r="E42" s="30" t="s">
        <v>147</v>
      </c>
      <c r="F42" s="30" t="s">
        <v>150</v>
      </c>
      <c r="G42" s="30" t="s">
        <v>151</v>
      </c>
      <c r="H42" s="30" t="s">
        <v>63</v>
      </c>
      <c r="I42" s="28">
        <v>120</v>
      </c>
      <c r="J42" s="31"/>
      <c r="K42" s="27" t="s">
        <v>82</v>
      </c>
      <c r="L42" s="26" t="s">
        <v>82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78" customHeight="1">
      <c r="A43" s="28">
        <v>8</v>
      </c>
      <c r="B43" s="29">
        <v>46330</v>
      </c>
      <c r="C43" s="28" t="s">
        <v>68</v>
      </c>
      <c r="D43" s="28" t="s">
        <v>31</v>
      </c>
      <c r="E43" s="30" t="s">
        <v>147</v>
      </c>
      <c r="F43" s="30" t="s">
        <v>152</v>
      </c>
      <c r="G43" s="30" t="s">
        <v>153</v>
      </c>
      <c r="H43" s="30" t="s">
        <v>63</v>
      </c>
      <c r="I43" s="28">
        <v>120</v>
      </c>
      <c r="J43" s="31"/>
      <c r="K43" s="27" t="s">
        <v>82</v>
      </c>
      <c r="L43" s="26" t="s">
        <v>82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78" customHeight="1">
      <c r="A44" s="28">
        <v>8</v>
      </c>
      <c r="B44" s="29">
        <v>46331</v>
      </c>
      <c r="C44" s="28" t="s">
        <v>71</v>
      </c>
      <c r="D44" s="28" t="s">
        <v>31</v>
      </c>
      <c r="E44" s="30" t="s">
        <v>147</v>
      </c>
      <c r="F44" s="30" t="s">
        <v>154</v>
      </c>
      <c r="G44" s="30" t="s">
        <v>155</v>
      </c>
      <c r="H44" s="30" t="s">
        <v>63</v>
      </c>
      <c r="I44" s="28">
        <v>120</v>
      </c>
      <c r="J44" s="31"/>
      <c r="K44" s="27" t="s">
        <v>82</v>
      </c>
      <c r="L44" s="26" t="s">
        <v>82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78" customHeight="1">
      <c r="A45" s="28">
        <v>8</v>
      </c>
      <c r="B45" s="29">
        <v>46332</v>
      </c>
      <c r="C45" s="28" t="s">
        <v>74</v>
      </c>
      <c r="D45" s="28" t="s">
        <v>31</v>
      </c>
      <c r="E45" s="30" t="s">
        <v>156</v>
      </c>
      <c r="F45" s="30" t="s">
        <v>157</v>
      </c>
      <c r="G45" s="30" t="s">
        <v>158</v>
      </c>
      <c r="H45" s="30" t="s">
        <v>77</v>
      </c>
      <c r="I45" s="28">
        <v>120</v>
      </c>
      <c r="J45" s="31"/>
      <c r="K45" s="27" t="s">
        <v>82</v>
      </c>
      <c r="L45" s="26" t="s">
        <v>82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78" customHeight="1">
      <c r="A46" s="28">
        <v>9</v>
      </c>
      <c r="B46" s="29">
        <v>46335</v>
      </c>
      <c r="C46" s="28" t="s">
        <v>59</v>
      </c>
      <c r="D46" s="28" t="s">
        <v>31</v>
      </c>
      <c r="E46" s="30" t="s">
        <v>147</v>
      </c>
      <c r="F46" s="30" t="s">
        <v>159</v>
      </c>
      <c r="G46" s="30" t="s">
        <v>160</v>
      </c>
      <c r="H46" s="30" t="s">
        <v>63</v>
      </c>
      <c r="I46" s="28">
        <v>120</v>
      </c>
      <c r="J46" s="31"/>
      <c r="K46" s="21" t="s">
        <v>82</v>
      </c>
      <c r="L46" s="22" t="s">
        <v>82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78" customHeight="1">
      <c r="A47" s="28">
        <v>9</v>
      </c>
      <c r="B47" s="29">
        <v>46336</v>
      </c>
      <c r="C47" s="28" t="s">
        <v>65</v>
      </c>
      <c r="D47" s="28" t="s">
        <v>31</v>
      </c>
      <c r="E47" s="30" t="s">
        <v>147</v>
      </c>
      <c r="F47" s="30" t="s">
        <v>161</v>
      </c>
      <c r="G47" s="30" t="s">
        <v>162</v>
      </c>
      <c r="H47" s="30" t="s">
        <v>63</v>
      </c>
      <c r="I47" s="28">
        <v>120</v>
      </c>
      <c r="J47" s="31"/>
      <c r="K47" s="27" t="s">
        <v>82</v>
      </c>
      <c r="L47" s="26" t="s">
        <v>82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78" customHeight="1">
      <c r="A48" s="28">
        <v>9</v>
      </c>
      <c r="B48" s="29">
        <v>46337</v>
      </c>
      <c r="C48" s="28" t="s">
        <v>68</v>
      </c>
      <c r="D48" s="28" t="s">
        <v>31</v>
      </c>
      <c r="E48" s="30" t="s">
        <v>147</v>
      </c>
      <c r="F48" s="30" t="s">
        <v>163</v>
      </c>
      <c r="G48" s="30" t="s">
        <v>164</v>
      </c>
      <c r="H48" s="30" t="s">
        <v>63</v>
      </c>
      <c r="I48" s="28">
        <v>120</v>
      </c>
      <c r="J48" s="31"/>
      <c r="K48" s="27" t="s">
        <v>82</v>
      </c>
      <c r="L48" s="26" t="s">
        <v>82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78" customHeight="1">
      <c r="A49" s="28">
        <v>9</v>
      </c>
      <c r="B49" s="29">
        <v>46338</v>
      </c>
      <c r="C49" s="28" t="s">
        <v>71</v>
      </c>
      <c r="D49" s="28" t="s">
        <v>31</v>
      </c>
      <c r="E49" s="30" t="s">
        <v>147</v>
      </c>
      <c r="F49" s="30" t="s">
        <v>165</v>
      </c>
      <c r="G49" s="30" t="s">
        <v>166</v>
      </c>
      <c r="H49" s="30" t="s">
        <v>63</v>
      </c>
      <c r="I49" s="28">
        <v>120</v>
      </c>
      <c r="J49" s="31"/>
      <c r="K49" s="27" t="s">
        <v>82</v>
      </c>
      <c r="L49" s="26" t="s">
        <v>82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78" customHeight="1">
      <c r="A50" s="28">
        <v>9</v>
      </c>
      <c r="B50" s="29">
        <v>46339</v>
      </c>
      <c r="C50" s="28" t="s">
        <v>74</v>
      </c>
      <c r="D50" s="28" t="s">
        <v>31</v>
      </c>
      <c r="E50" s="30" t="s">
        <v>156</v>
      </c>
      <c r="F50" s="30" t="s">
        <v>167</v>
      </c>
      <c r="G50" s="30" t="s">
        <v>168</v>
      </c>
      <c r="H50" s="30" t="s">
        <v>77</v>
      </c>
      <c r="I50" s="28">
        <v>120</v>
      </c>
      <c r="J50" s="31"/>
      <c r="K50" s="27" t="s">
        <v>82</v>
      </c>
      <c r="L50" s="26" t="s">
        <v>82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78" customHeight="1">
      <c r="A51" s="28">
        <v>10</v>
      </c>
      <c r="B51" s="29">
        <v>46342</v>
      </c>
      <c r="C51" s="28" t="s">
        <v>59</v>
      </c>
      <c r="D51" s="28" t="s">
        <v>39</v>
      </c>
      <c r="E51" s="30" t="s">
        <v>147</v>
      </c>
      <c r="F51" s="30" t="s">
        <v>169</v>
      </c>
      <c r="G51" s="30" t="s">
        <v>170</v>
      </c>
      <c r="H51" s="30" t="s">
        <v>63</v>
      </c>
      <c r="I51" s="28">
        <v>120</v>
      </c>
      <c r="J51" s="31"/>
      <c r="K51" s="27" t="s">
        <v>82</v>
      </c>
      <c r="L51" s="26" t="s">
        <v>82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78" customHeight="1">
      <c r="A52" s="28">
        <v>10</v>
      </c>
      <c r="B52" s="29">
        <v>46343</v>
      </c>
      <c r="C52" s="28" t="s">
        <v>65</v>
      </c>
      <c r="D52" s="28" t="s">
        <v>39</v>
      </c>
      <c r="E52" s="30" t="s">
        <v>147</v>
      </c>
      <c r="F52" s="30" t="s">
        <v>171</v>
      </c>
      <c r="G52" s="30" t="s">
        <v>172</v>
      </c>
      <c r="H52" s="30" t="s">
        <v>63</v>
      </c>
      <c r="I52" s="28">
        <v>120</v>
      </c>
      <c r="J52" s="31"/>
      <c r="K52" s="27" t="s">
        <v>82</v>
      </c>
      <c r="L52" s="26" t="s">
        <v>82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78" customHeight="1">
      <c r="A53" s="28">
        <v>10</v>
      </c>
      <c r="B53" s="29">
        <v>46344</v>
      </c>
      <c r="C53" s="28" t="s">
        <v>68</v>
      </c>
      <c r="D53" s="28" t="s">
        <v>39</v>
      </c>
      <c r="E53" s="30" t="s">
        <v>147</v>
      </c>
      <c r="F53" s="30" t="s">
        <v>173</v>
      </c>
      <c r="G53" s="30" t="s">
        <v>174</v>
      </c>
      <c r="H53" s="30" t="s">
        <v>63</v>
      </c>
      <c r="I53" s="28">
        <v>120</v>
      </c>
      <c r="J53" s="31"/>
      <c r="K53" s="27" t="s">
        <v>82</v>
      </c>
      <c r="L53" s="26" t="s">
        <v>82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78" customHeight="1">
      <c r="A54" s="28">
        <v>10</v>
      </c>
      <c r="B54" s="29">
        <v>46345</v>
      </c>
      <c r="C54" s="28" t="s">
        <v>71</v>
      </c>
      <c r="D54" s="28" t="s">
        <v>39</v>
      </c>
      <c r="E54" s="30" t="s">
        <v>147</v>
      </c>
      <c r="F54" s="30" t="s">
        <v>175</v>
      </c>
      <c r="G54" s="30" t="s">
        <v>176</v>
      </c>
      <c r="H54" s="30" t="s">
        <v>63</v>
      </c>
      <c r="I54" s="28">
        <v>120</v>
      </c>
      <c r="J54" s="31"/>
      <c r="K54" s="27" t="s">
        <v>82</v>
      </c>
      <c r="L54" s="26" t="s">
        <v>82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78" customHeight="1">
      <c r="A55" s="28">
        <v>10</v>
      </c>
      <c r="B55" s="29">
        <v>46346</v>
      </c>
      <c r="C55" s="28" t="s">
        <v>74</v>
      </c>
      <c r="D55" s="28" t="s">
        <v>39</v>
      </c>
      <c r="E55" s="30" t="s">
        <v>156</v>
      </c>
      <c r="F55" s="30" t="s">
        <v>177</v>
      </c>
      <c r="G55" s="30" t="s">
        <v>178</v>
      </c>
      <c r="H55" s="30" t="s">
        <v>179</v>
      </c>
      <c r="I55" s="28">
        <v>130</v>
      </c>
      <c r="J55" s="31"/>
      <c r="K55" s="27" t="s">
        <v>82</v>
      </c>
      <c r="L55" s="26" t="s">
        <v>82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78" customHeight="1">
      <c r="A56" s="28">
        <v>11</v>
      </c>
      <c r="B56" s="29">
        <v>46349</v>
      </c>
      <c r="C56" s="28" t="s">
        <v>59</v>
      </c>
      <c r="D56" s="28" t="s">
        <v>39</v>
      </c>
      <c r="E56" s="30" t="s">
        <v>156</v>
      </c>
      <c r="F56" s="30" t="s">
        <v>180</v>
      </c>
      <c r="G56" s="30" t="s">
        <v>181</v>
      </c>
      <c r="H56" s="30" t="s">
        <v>179</v>
      </c>
      <c r="I56" s="28">
        <v>120</v>
      </c>
      <c r="J56" s="31"/>
      <c r="K56" s="27" t="s">
        <v>82</v>
      </c>
      <c r="L56" s="26" t="s">
        <v>82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78" customHeight="1">
      <c r="A57" s="28">
        <v>11</v>
      </c>
      <c r="B57" s="29">
        <v>46350</v>
      </c>
      <c r="C57" s="28" t="s">
        <v>65</v>
      </c>
      <c r="D57" s="28" t="s">
        <v>39</v>
      </c>
      <c r="E57" s="30" t="s">
        <v>156</v>
      </c>
      <c r="F57" s="30" t="s">
        <v>182</v>
      </c>
      <c r="G57" s="30" t="s">
        <v>183</v>
      </c>
      <c r="H57" s="30" t="s">
        <v>179</v>
      </c>
      <c r="I57" s="28">
        <v>120</v>
      </c>
      <c r="J57" s="31"/>
      <c r="K57" s="27" t="s">
        <v>82</v>
      </c>
      <c r="L57" s="26" t="s">
        <v>82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78" customHeight="1">
      <c r="A58" s="28">
        <v>11</v>
      </c>
      <c r="B58" s="29">
        <v>46351</v>
      </c>
      <c r="C58" s="28" t="s">
        <v>68</v>
      </c>
      <c r="D58" s="28" t="s">
        <v>39</v>
      </c>
      <c r="E58" s="30" t="s">
        <v>147</v>
      </c>
      <c r="F58" s="30" t="s">
        <v>184</v>
      </c>
      <c r="G58" s="30" t="s">
        <v>185</v>
      </c>
      <c r="H58" s="30" t="s">
        <v>63</v>
      </c>
      <c r="I58" s="28">
        <v>120</v>
      </c>
      <c r="J58" s="31"/>
      <c r="K58" s="27" t="s">
        <v>82</v>
      </c>
      <c r="L58" s="26" t="s">
        <v>82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78" customHeight="1">
      <c r="A59" s="28">
        <v>11</v>
      </c>
      <c r="B59" s="29">
        <v>46352</v>
      </c>
      <c r="C59" s="28" t="s">
        <v>71</v>
      </c>
      <c r="D59" s="28" t="s">
        <v>39</v>
      </c>
      <c r="E59" s="30" t="s">
        <v>147</v>
      </c>
      <c r="F59" s="30" t="s">
        <v>186</v>
      </c>
      <c r="G59" s="30" t="s">
        <v>187</v>
      </c>
      <c r="H59" s="30" t="s">
        <v>63</v>
      </c>
      <c r="I59" s="28">
        <v>120</v>
      </c>
      <c r="J59" s="31"/>
      <c r="K59" s="27" t="s">
        <v>82</v>
      </c>
      <c r="L59" s="26" t="s">
        <v>82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78" customHeight="1">
      <c r="A60" s="28">
        <v>11</v>
      </c>
      <c r="B60" s="29">
        <v>46353</v>
      </c>
      <c r="C60" s="28" t="s">
        <v>74</v>
      </c>
      <c r="D60" s="28" t="s">
        <v>39</v>
      </c>
      <c r="E60" s="30" t="s">
        <v>156</v>
      </c>
      <c r="F60" s="30" t="s">
        <v>188</v>
      </c>
      <c r="G60" s="30" t="s">
        <v>189</v>
      </c>
      <c r="H60" s="30" t="s">
        <v>179</v>
      </c>
      <c r="I60" s="28">
        <v>130</v>
      </c>
      <c r="J60" s="31"/>
      <c r="K60" s="27" t="s">
        <v>82</v>
      </c>
      <c r="L60" s="26" t="s">
        <v>82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78" customHeight="1">
      <c r="A61" s="28">
        <v>12</v>
      </c>
      <c r="B61" s="29">
        <v>46356</v>
      </c>
      <c r="C61" s="28" t="s">
        <v>59</v>
      </c>
      <c r="D61" s="28" t="s">
        <v>39</v>
      </c>
      <c r="E61" s="30" t="s">
        <v>190</v>
      </c>
      <c r="F61" s="30" t="s">
        <v>191</v>
      </c>
      <c r="G61" s="30" t="s">
        <v>192</v>
      </c>
      <c r="H61" s="30" t="s">
        <v>179</v>
      </c>
      <c r="I61" s="28">
        <v>120</v>
      </c>
      <c r="J61" s="31"/>
      <c r="K61" s="27" t="s">
        <v>82</v>
      </c>
      <c r="L61" s="26" t="s">
        <v>82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78" customHeight="1">
      <c r="A62" s="28">
        <v>12</v>
      </c>
      <c r="B62" s="29">
        <v>46357</v>
      </c>
      <c r="C62" s="28" t="s">
        <v>65</v>
      </c>
      <c r="D62" s="28" t="s">
        <v>39</v>
      </c>
      <c r="E62" s="30" t="s">
        <v>190</v>
      </c>
      <c r="F62" s="30" t="s">
        <v>193</v>
      </c>
      <c r="G62" s="30" t="s">
        <v>194</v>
      </c>
      <c r="H62" s="30" t="s">
        <v>179</v>
      </c>
      <c r="I62" s="28">
        <v>120</v>
      </c>
      <c r="J62" s="31"/>
      <c r="K62" s="27" t="s">
        <v>82</v>
      </c>
      <c r="L62" s="26" t="s">
        <v>82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78" customHeight="1">
      <c r="A63" s="28">
        <v>12</v>
      </c>
      <c r="B63" s="29">
        <v>46358</v>
      </c>
      <c r="C63" s="28" t="s">
        <v>68</v>
      </c>
      <c r="D63" s="28" t="s">
        <v>39</v>
      </c>
      <c r="E63" s="30" t="s">
        <v>190</v>
      </c>
      <c r="F63" s="30" t="s">
        <v>195</v>
      </c>
      <c r="G63" s="30" t="s">
        <v>196</v>
      </c>
      <c r="H63" s="30" t="s">
        <v>63</v>
      </c>
      <c r="I63" s="28">
        <v>120</v>
      </c>
      <c r="J63" s="31"/>
      <c r="K63" s="27" t="s">
        <v>82</v>
      </c>
      <c r="L63" s="26" t="s">
        <v>82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78" customHeight="1">
      <c r="A64" s="28">
        <v>12</v>
      </c>
      <c r="B64" s="29">
        <v>46359</v>
      </c>
      <c r="C64" s="28" t="s">
        <v>71</v>
      </c>
      <c r="D64" s="28" t="s">
        <v>39</v>
      </c>
      <c r="E64" s="30" t="s">
        <v>190</v>
      </c>
      <c r="F64" s="30" t="s">
        <v>197</v>
      </c>
      <c r="G64" s="30" t="s">
        <v>198</v>
      </c>
      <c r="H64" s="30" t="s">
        <v>63</v>
      </c>
      <c r="I64" s="28">
        <v>120</v>
      </c>
      <c r="J64" s="31"/>
      <c r="K64" s="27" t="s">
        <v>82</v>
      </c>
      <c r="L64" s="26" t="s">
        <v>82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78" customHeight="1">
      <c r="A65" s="28">
        <v>12</v>
      </c>
      <c r="B65" s="29">
        <v>46360</v>
      </c>
      <c r="C65" s="28" t="s">
        <v>74</v>
      </c>
      <c r="D65" s="28" t="s">
        <v>39</v>
      </c>
      <c r="E65" s="30" t="s">
        <v>190</v>
      </c>
      <c r="F65" s="30" t="s">
        <v>199</v>
      </c>
      <c r="G65" s="30" t="s">
        <v>200</v>
      </c>
      <c r="H65" s="30" t="s">
        <v>179</v>
      </c>
      <c r="I65" s="28">
        <v>130</v>
      </c>
      <c r="J65" s="31"/>
      <c r="K65" s="27" t="s">
        <v>82</v>
      </c>
      <c r="L65" s="26" t="s">
        <v>82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78" customHeight="1">
      <c r="A66" s="28">
        <v>13</v>
      </c>
      <c r="B66" s="29">
        <v>46363</v>
      </c>
      <c r="C66" s="28" t="s">
        <v>59</v>
      </c>
      <c r="D66" s="28" t="s">
        <v>39</v>
      </c>
      <c r="E66" s="30" t="s">
        <v>190</v>
      </c>
      <c r="F66" s="30" t="s">
        <v>201</v>
      </c>
      <c r="G66" s="30" t="s">
        <v>202</v>
      </c>
      <c r="H66" s="30" t="s">
        <v>179</v>
      </c>
      <c r="I66" s="28">
        <v>120</v>
      </c>
      <c r="J66" s="31"/>
      <c r="K66" s="27" t="s">
        <v>82</v>
      </c>
      <c r="L66" s="26" t="s">
        <v>82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78" customHeight="1">
      <c r="A67" s="28">
        <v>13</v>
      </c>
      <c r="B67" s="29">
        <v>46364</v>
      </c>
      <c r="C67" s="28" t="s">
        <v>65</v>
      </c>
      <c r="D67" s="28" t="s">
        <v>39</v>
      </c>
      <c r="E67" s="30" t="s">
        <v>190</v>
      </c>
      <c r="F67" s="30" t="s">
        <v>203</v>
      </c>
      <c r="G67" s="30" t="s">
        <v>204</v>
      </c>
      <c r="H67" s="30" t="s">
        <v>63</v>
      </c>
      <c r="I67" s="28">
        <v>120</v>
      </c>
      <c r="J67" s="31"/>
      <c r="K67" s="27" t="s">
        <v>82</v>
      </c>
      <c r="L67" s="26" t="s">
        <v>82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78" customHeight="1">
      <c r="A68" s="28">
        <v>13</v>
      </c>
      <c r="B68" s="29">
        <v>46365</v>
      </c>
      <c r="C68" s="28" t="s">
        <v>68</v>
      </c>
      <c r="D68" s="28" t="s">
        <v>39</v>
      </c>
      <c r="E68" s="30" t="s">
        <v>190</v>
      </c>
      <c r="F68" s="30" t="s">
        <v>205</v>
      </c>
      <c r="G68" s="30" t="s">
        <v>206</v>
      </c>
      <c r="H68" s="30" t="s">
        <v>179</v>
      </c>
      <c r="I68" s="28">
        <v>130</v>
      </c>
      <c r="J68" s="31"/>
      <c r="K68" s="27" t="s">
        <v>82</v>
      </c>
      <c r="L68" s="26" t="s">
        <v>82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78" customHeight="1">
      <c r="A69" s="28">
        <v>13</v>
      </c>
      <c r="B69" s="29">
        <v>46366</v>
      </c>
      <c r="C69" s="28" t="s">
        <v>71</v>
      </c>
      <c r="D69" s="28" t="s">
        <v>39</v>
      </c>
      <c r="E69" s="30" t="s">
        <v>190</v>
      </c>
      <c r="F69" s="30" t="s">
        <v>207</v>
      </c>
      <c r="G69" s="30" t="s">
        <v>208</v>
      </c>
      <c r="H69" s="30" t="s">
        <v>179</v>
      </c>
      <c r="I69" s="28">
        <v>120</v>
      </c>
      <c r="J69" s="31"/>
      <c r="K69" s="27" t="s">
        <v>82</v>
      </c>
      <c r="L69" s="26" t="s">
        <v>82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78" customHeight="1">
      <c r="A70" s="28">
        <v>13</v>
      </c>
      <c r="B70" s="29">
        <v>46367</v>
      </c>
      <c r="C70" s="28" t="s">
        <v>74</v>
      </c>
      <c r="D70" s="28" t="s">
        <v>39</v>
      </c>
      <c r="E70" s="30" t="s">
        <v>190</v>
      </c>
      <c r="F70" s="30" t="s">
        <v>209</v>
      </c>
      <c r="G70" s="30" t="s">
        <v>210</v>
      </c>
      <c r="H70" s="30" t="s">
        <v>179</v>
      </c>
      <c r="I70" s="28">
        <v>130</v>
      </c>
      <c r="J70" s="31"/>
      <c r="K70" s="27" t="s">
        <v>82</v>
      </c>
      <c r="L70" s="26" t="s">
        <v>82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hyperlinks>
    <hyperlink r:id="rId1" ref="J11"/>
  </hyperlink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DC000E-00F1-4004-A5DB-003400020078}" type="list" allowBlank="1" errorStyle="stop" imeMode="noControl" operator="between" showDropDown="0" showErrorMessage="0" showInputMessage="0">
          <x14:formula1>
            <xm:f>"Chưa học,Đang học,Hoàn thành,Cần ôn lại"</xm:f>
          </x14:formula1>
          <xm:sqref>K6:L70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" customHeight="1"/>
  <cols>
    <col customWidth="1" min="1" max="1" width="8"/>
    <col customWidth="1" min="2" max="2" width="18"/>
    <col customWidth="1" min="3" max="3" width="124.421875"/>
    <col customWidth="1" min="4" max="5" width="34"/>
    <col customWidth="1" min="6" max="26" width="8.6300000000000008"/>
  </cols>
  <sheetData>
    <row r="1" ht="20.25">
      <c r="A1" s="10" t="s">
        <v>211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0.25">
      <c r="A3" s="8" t="s">
        <v>8</v>
      </c>
      <c r="B3" s="8" t="s">
        <v>212</v>
      </c>
      <c r="C3" s="8" t="s">
        <v>213</v>
      </c>
      <c r="D3" s="8" t="s">
        <v>214</v>
      </c>
      <c r="E3" s="8" t="s">
        <v>215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05" customHeight="1">
      <c r="A4" s="9" t="s">
        <v>216</v>
      </c>
      <c r="B4" s="9" t="s">
        <v>217</v>
      </c>
      <c r="C4" s="9" t="s">
        <v>218</v>
      </c>
      <c r="D4" s="9" t="s">
        <v>219</v>
      </c>
      <c r="E4" s="9" t="s">
        <v>220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55" customHeight="1">
      <c r="A5" s="9" t="s">
        <v>221</v>
      </c>
      <c r="B5" s="9" t="s">
        <v>222</v>
      </c>
      <c r="C5" s="9" t="s">
        <v>223</v>
      </c>
      <c r="D5" s="9" t="s">
        <v>224</v>
      </c>
      <c r="E5" s="9" t="s">
        <v>225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85" customHeight="1">
      <c r="A6" s="9" t="s">
        <v>226</v>
      </c>
      <c r="B6" s="9" t="s">
        <v>227</v>
      </c>
      <c r="C6" s="9" t="s">
        <v>228</v>
      </c>
      <c r="D6" s="9" t="s">
        <v>229</v>
      </c>
      <c r="E6" s="9" t="s">
        <v>230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0" customHeight="1">
      <c r="A7" s="9" t="s">
        <v>231</v>
      </c>
      <c r="B7" s="9" t="s">
        <v>232</v>
      </c>
      <c r="C7" s="9" t="s">
        <v>233</v>
      </c>
      <c r="D7" s="9" t="s">
        <v>234</v>
      </c>
      <c r="E7" s="9" t="s">
        <v>235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0" customHeight="1">
      <c r="A8" s="9" t="s">
        <v>236</v>
      </c>
      <c r="B8" s="9" t="s">
        <v>237</v>
      </c>
      <c r="C8" s="9" t="s">
        <v>238</v>
      </c>
      <c r="D8" s="9" t="s">
        <v>239</v>
      </c>
      <c r="E8" s="9" t="s">
        <v>240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95" customHeight="1">
      <c r="A9" s="9" t="s">
        <v>241</v>
      </c>
      <c r="B9" s="9" t="s">
        <v>242</v>
      </c>
      <c r="C9" s="9" t="s">
        <v>243</v>
      </c>
      <c r="D9" s="9" t="s">
        <v>244</v>
      </c>
      <c r="E9" s="9" t="s">
        <v>245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0" customHeight="1">
      <c r="A10" s="9" t="s">
        <v>246</v>
      </c>
      <c r="B10" s="9" t="s">
        <v>247</v>
      </c>
      <c r="C10" s="9" t="s">
        <v>248</v>
      </c>
      <c r="D10" s="9" t="s">
        <v>249</v>
      </c>
      <c r="E10" s="9" t="s">
        <v>250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90" customHeight="1">
      <c r="A11" s="9" t="s">
        <v>251</v>
      </c>
      <c r="B11" s="9" t="s">
        <v>252</v>
      </c>
      <c r="C11" s="9" t="s">
        <v>253</v>
      </c>
      <c r="D11" s="9" t="s">
        <v>254</v>
      </c>
      <c r="E11" s="9" t="s">
        <v>255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5" customHeight="1">
      <c r="A12" s="9" t="s">
        <v>256</v>
      </c>
      <c r="B12" s="9" t="s">
        <v>257</v>
      </c>
      <c r="C12" s="9" t="s">
        <v>258</v>
      </c>
      <c r="D12" s="9" t="s">
        <v>249</v>
      </c>
      <c r="E12" s="9" t="s">
        <v>259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0" customHeight="1">
      <c r="A13" s="9" t="s">
        <v>260</v>
      </c>
      <c r="B13" s="9" t="s">
        <v>261</v>
      </c>
      <c r="C13" s="9" t="s">
        <v>262</v>
      </c>
      <c r="D13" s="9" t="s">
        <v>263</v>
      </c>
      <c r="E13" s="9" t="s">
        <v>264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51.75" customHeight="1">
      <c r="A14" s="9" t="s">
        <v>265</v>
      </c>
      <c r="B14" s="9" t="s">
        <v>266</v>
      </c>
      <c r="C14" s="9" t="s">
        <v>267</v>
      </c>
      <c r="D14" s="9" t="s">
        <v>268</v>
      </c>
      <c r="E14" s="9" t="s">
        <v>269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51.75" customHeight="1">
      <c r="A15" s="9" t="s">
        <v>270</v>
      </c>
      <c r="B15" s="9" t="s">
        <v>271</v>
      </c>
      <c r="C15" s="9" t="s">
        <v>272</v>
      </c>
      <c r="D15" s="9" t="s">
        <v>273</v>
      </c>
      <c r="E15" s="9" t="s">
        <v>274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51.75" customHeight="1">
      <c r="A16" s="9" t="s">
        <v>275</v>
      </c>
      <c r="B16" s="9" t="s">
        <v>276</v>
      </c>
      <c r="C16" s="9" t="s">
        <v>277</v>
      </c>
      <c r="D16" s="9" t="s">
        <v>278</v>
      </c>
      <c r="E16" s="9" t="s">
        <v>279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0.25">
      <c r="A18" s="2" t="s">
        <v>280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E1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" customHeight="1"/>
  <cols>
    <col customWidth="1" min="1" max="1" width="38"/>
    <col customWidth="1" min="2" max="2" width="55"/>
    <col customWidth="1" min="3" max="3" width="70"/>
    <col customWidth="1" min="4" max="4" width="28.129999999999999"/>
    <col customWidth="1" min="5" max="25" width="8.6300000000000008"/>
  </cols>
  <sheetData>
    <row r="1">
      <c r="A1" s="3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3" t="s">
        <v>281</v>
      </c>
      <c r="B3" s="33" t="s">
        <v>282</v>
      </c>
      <c r="C3" s="34" t="s">
        <v>283</v>
      </c>
      <c r="D3" s="34" t="s">
        <v>284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55.5" customHeight="1">
      <c r="A4" s="35" t="s">
        <v>285</v>
      </c>
      <c r="B4" s="9"/>
      <c r="C4" s="36" t="s">
        <v>286</v>
      </c>
      <c r="D4" s="3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55.5" customHeight="1">
      <c r="A5" s="9" t="s">
        <v>287</v>
      </c>
      <c r="B5" s="9" t="s">
        <v>288</v>
      </c>
      <c r="C5" s="36" t="s">
        <v>289</v>
      </c>
      <c r="D5" s="37" t="s">
        <v>290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55.5" customHeight="1">
      <c r="A6" s="9" t="s">
        <v>291</v>
      </c>
      <c r="B6" s="9" t="s">
        <v>292</v>
      </c>
      <c r="C6" s="36" t="s">
        <v>293</v>
      </c>
      <c r="D6" s="3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55.5" customHeight="1">
      <c r="A7" s="9" t="s">
        <v>294</v>
      </c>
      <c r="B7" s="9" t="s">
        <v>295</v>
      </c>
      <c r="C7" s="36" t="s">
        <v>293</v>
      </c>
      <c r="D7" s="3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55.5" customHeight="1">
      <c r="A8" s="9" t="s">
        <v>296</v>
      </c>
      <c r="B8" s="9" t="s">
        <v>297</v>
      </c>
      <c r="C8" s="36" t="s">
        <v>293</v>
      </c>
      <c r="D8" s="3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55.5" customHeight="1">
      <c r="A9" s="9" t="s">
        <v>298</v>
      </c>
      <c r="B9" s="9" t="s">
        <v>299</v>
      </c>
      <c r="C9" s="36" t="s">
        <v>300</v>
      </c>
      <c r="D9" s="3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55.5" customHeight="1">
      <c r="A10" s="9" t="s">
        <v>301</v>
      </c>
      <c r="B10" s="9" t="s">
        <v>302</v>
      </c>
      <c r="C10" s="36" t="s">
        <v>303</v>
      </c>
      <c r="D10" s="3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</sheetData>
  <mergeCells count="1">
    <mergeCell ref="A1:C1"/>
  </mergeCells>
  <hyperlinks>
    <hyperlink r:id="rId1" ref="C4"/>
    <hyperlink r:id="rId2" ref="C5"/>
    <hyperlink r:id="rId3" ref="C6"/>
    <hyperlink r:id="rId3" ref="C7"/>
    <hyperlink r:id="rId3" ref="C8"/>
    <hyperlink r:id="rId4" ref="C9"/>
    <hyperlink r:id="rId5" ref="C10"/>
  </hyperlink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